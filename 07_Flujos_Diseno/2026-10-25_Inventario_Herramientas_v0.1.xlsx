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yectosClaude\tesis-torvesa\Tesis_Torvesa\07_Flujos_Diseno\"/>
    </mc:Choice>
  </mc:AlternateContent>
  <xr:revisionPtr revIDLastSave="0" documentId="13_ncr:1_{4344B48A-465B-4FF2-8DDA-CE1399223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  <sheet name="Criterios" sheetId="2" r:id="rId2"/>
    <sheet name="Costo ilustrativo" sheetId="3" r:id="rId3"/>
    <sheet name="Pendien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F22" i="3" s="1"/>
  <c r="E21" i="3"/>
  <c r="F21" i="3" s="1"/>
  <c r="E20" i="3"/>
  <c r="F20" i="3" s="1"/>
  <c r="E19" i="3"/>
  <c r="F19" i="3" s="1"/>
  <c r="E18" i="3"/>
  <c r="F18" i="3" s="1"/>
  <c r="E17" i="3"/>
  <c r="F17" i="3" s="1"/>
  <c r="C16" i="3"/>
  <c r="E16" i="3" s="1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</calcChain>
</file>

<file path=xl/sharedStrings.xml><?xml version="1.0" encoding="utf-8"?>
<sst xmlns="http://schemas.openxmlformats.org/spreadsheetml/2006/main" count="327" uniqueCount="235">
  <si>
    <t>Inventario de herramientas candidatas v0.1 (S2-T11)</t>
  </si>
  <si>
    <t>Precios en USD sin impuestos, de la página oficial de cada proveedor, consultados el 25-oct-2026. «No dice» = la página oficial no lo menciona (no significa que no exista).</t>
  </si>
  <si>
    <t>Componente</t>
  </si>
  <si>
    <t>Herramienta</t>
  </si>
  <si>
    <t>Plan considerado</t>
  </si>
  <si>
    <t>Unidad de cobro</t>
  </si>
  <si>
    <t>Precio con pago anual</t>
  </si>
  <si>
    <t>Precio con pago mensual</t>
  </si>
  <si>
    <t>Plan gratuito o prueba</t>
  </si>
  <si>
    <t>App móvil</t>
  </si>
  <si>
    <t>WhatsApp</t>
  </si>
  <si>
    <t>Datos y LOPDP</t>
  </si>
  <si>
    <t>Madurez y compromiso</t>
  </si>
  <si>
    <t>Encaje con el diseño</t>
  </si>
  <si>
    <t>Fuente (citekey)</t>
  </si>
  <si>
    <t>Enlace oficial</t>
  </si>
  <si>
    <t>Consulta</t>
  </si>
  <si>
    <t>Bóveda</t>
  </si>
  <si>
    <t>Obsidian</t>
  </si>
  <si>
    <t>App gratuita + Obsidian Sync</t>
  </si>
  <si>
    <t>usuario/mes (Sync)</t>
  </si>
  <si>
    <t>App gratis, también para uso comercial; licencia comercial opcional (USD 50 por usuario al año)</t>
  </si>
  <si>
    <t>Sí (falta anotar la fuente)</t>
  </si>
  <si>
    <t>No aplica</t>
  </si>
  <si>
    <t>Archivos locales (local-first, A38). Con Sync, todos los colaboradores tienen los permisos del dueño: no hay permisos por usuario ni carpeta</t>
  </si>
  <si>
    <t>Estable. El plugin de Git en el móvil es «very unstable» (no usarlo en el celular)</t>
  </si>
  <si>
    <t>Es el componente (a) del diseño aprobado: fichas de clientes, plantillas y cotizaciones</t>
  </si>
  <si>
    <t>obsidian_2025; obsidian_sfa; obsidian_sfb; vinzent03_sf</t>
  </si>
  <si>
    <t>https://obsidian.md/pricing</t>
  </si>
  <si>
    <t>21-oct-2026</t>
  </si>
  <si>
    <t>Notion</t>
  </si>
  <si>
    <t>Plus</t>
  </si>
  <si>
    <t>puesto/mes</t>
  </si>
  <si>
    <t>Free: USD 0 (historial de 7 días, archivos de 5 MB). IA completa solo desde Business (USD 20 / 24)</t>
  </si>
  <si>
    <t>No dice</t>
  </si>
  <si>
    <t>Los datos viven en la nube de Notion, no en archivos locales</t>
  </si>
  <si>
    <t>Estable</t>
  </si>
  <si>
    <t>Alternativa a Obsidian; choca con el enfoque local-first</t>
  </si>
  <si>
    <t>notion_sf</t>
  </si>
  <si>
    <t>https://www.notion.com/pricing</t>
  </si>
  <si>
    <t>25-oct-2026</t>
  </si>
  <si>
    <t>Logseq</t>
  </si>
  <si>
    <t>Código abierto (AGPL-3.0)</t>
  </si>
  <si>
    <t>sin costo de licencia</t>
  </si>
  <si>
    <t>Gratis (código abierto). No dice si la sincronización es pagada</t>
  </si>
  <si>
    <t>App móvil nueva en alfa</t>
  </si>
  <si>
    <t>«Privacy-first»; sin detalle de dónde viven los datos en el README</t>
  </si>
  <si>
    <t>Versión DB en beta; app móvil y colaboración en tiempo real en alfa</t>
  </si>
  <si>
    <t>Alternativa de código abierto; arriesgada para trabajo desde el celular</t>
  </si>
  <si>
    <t>logseq_sf</t>
  </si>
  <si>
    <t>https://github.com/logseq/logseq</t>
  </si>
  <si>
    <t>CRM</t>
  </si>
  <si>
    <t>HubSpot</t>
  </si>
  <si>
    <t>Starter (precio de lista)</t>
  </si>
  <si>
    <t>Free para hasta 2 usuarios (1 000 contactos). Oferta temporal de Starter: USD 7 (anual) o 10 (mensual), solo clientes nuevos</t>
  </si>
  <si>
    <t>Sí («HubSpot mobile app»)</t>
  </si>
  <si>
    <t>No dice (solo Facebook Messenger)</t>
  </si>
  <si>
    <t>Falta revisar</t>
  </si>
  <si>
    <t>Plan gratuito útil para la validación experimental</t>
  </si>
  <si>
    <t>hubspot_sf</t>
  </si>
  <si>
    <t>https://www.hubspot.com/pricing/crm</t>
  </si>
  <si>
    <t>Zoho CRM</t>
  </si>
  <si>
    <t>Standard</t>
  </si>
  <si>
    <t>usuario/mes</t>
  </si>
  <si>
    <t>Gratis para 3 usuarios</t>
  </si>
  <si>
    <t>Sí (incluida en la edición gratuita)</t>
  </si>
  <si>
    <t>Falta revisar. Impuestos locales aparte</t>
  </si>
  <si>
    <t>Plan gratuito para 3 usuarios</t>
  </si>
  <si>
    <t>zoho_sf</t>
  </si>
  <si>
    <t>https://www.zoho.com/es-xl/crm/zohocrm-pricing.html</t>
  </si>
  <si>
    <t>Pipedrive</t>
  </si>
  <si>
    <t>Lite</t>
  </si>
  <si>
    <t>Sin plan gratuito; prueba de 14 días</t>
  </si>
  <si>
    <t>No dice en la página de precios</t>
  </si>
  <si>
    <t>Sin plan gratuito</t>
  </si>
  <si>
    <t>pipedrive_sf</t>
  </si>
  <si>
    <t>https://www.pipedrive.com/en/pricing</t>
  </si>
  <si>
    <t>Kommo</t>
  </si>
  <si>
    <t>Básico</t>
  </si>
  <si>
    <t>Prueba de 14 días. Sin pago mensual: mínimo 6 meses (USD 20 al mes); con 1 año, USD 16,67</t>
  </si>
  <si>
    <t>Sí (Android e iOS)</t>
  </si>
  <si>
    <t>Sí: plataforma oficial de WhatsApp Business (las tarifas de Meta van aparte)</t>
  </si>
  <si>
    <t>Plazo mínimo de 6 meses, más largo que la validación experimental</t>
  </si>
  <si>
    <t>Único CRM con WhatsApp oficial, el canal por donde hoy llegan las solicitudes (AS-IS v0.1)</t>
  </si>
  <si>
    <t>kommo_sf; meta_sf</t>
  </si>
  <si>
    <t>https://www.kommo.com/es/precios/comparar-planes/</t>
  </si>
  <si>
    <t>LLM</t>
  </si>
  <si>
    <t>Claude Sonnet 5.5 (Anthropic)</t>
  </si>
  <si>
    <t>API, gama media</t>
  </si>
  <si>
    <t>por millón de tokens</t>
  </si>
  <si>
    <t>2 entrada / 10 salida</t>
  </si>
  <si>
    <t>igual</t>
  </si>
  <si>
    <t>Sin nivel gratuito en la ficha</t>
  </si>
  <si>
    <t>No entrena con los datos de la API por defecto. No guarda el contenido de las conversaciones por defecto (salvo «Covered Models», 30 días). Hay retención cero (ZDR)</t>
  </si>
  <si>
    <t>ELEGIDO por Diego el 25-oct-2026 (falta el visto bueno de Víctor). ≈ USD 13 al mes con 1 000 consultas (supuesto de la tabla de precios)</t>
  </si>
  <si>
    <t>anthropic_sf; anthropic_2026; anthropic_sfb</t>
  </si>
  <si>
    <t>https://platform.claude.com/docs/en/about-claude/pricing</t>
  </si>
  <si>
    <t>gpt-6.1-sol (OpenAI)</t>
  </si>
  <si>
    <t>No entrena con los datos de la API salvo que el cliente lo acepte. Guarda registros de abuso hasta 30 días; la exclusión es solo para clientes aprobados</t>
  </si>
  <si>
    <t>≈ USD 13 al mes con 1 000 consultas (supuesto)</t>
  </si>
  <si>
    <t>openai_sf; openai_sfb</t>
  </si>
  <si>
    <t>https://developers.openai.com/api/docs/pricing</t>
  </si>
  <si>
    <t>Gemini 3.8 Flash (Google)</t>
  </si>
  <si>
    <t>API, nivel pagado, gama media</t>
  </si>
  <si>
    <t>0,75 / 3,75 hasta el 31-dic-2026; 1,50 / 7,50 desde 2027</t>
  </si>
  <si>
    <t>Hay nivel gratuito, pero usa los datos para mejorar productos: no sirve con datos de clientes</t>
  </si>
  <si>
    <t>Nivel gratuito: no apto (LOPDP). Nivel pagado: falta revisar las condiciones de datos</t>
  </si>
  <si>
    <t>El precio se duplica el 1-ene-2027</t>
  </si>
  <si>
    <t>≈ USD 9,75 al mes con 1 000 consultas, a precio 2027 (supuesto)</t>
  </si>
  <si>
    <t>google_2026</t>
  </si>
  <si>
    <t>https://ai.google.dev/gemini-api/docs/pricing</t>
  </si>
  <si>
    <t>Mensajería</t>
  </si>
  <si>
    <t>WhatsApp Business Platform (Meta)</t>
  </si>
  <si>
    <t>API de nube</t>
  </si>
  <si>
    <t>por mensaje entregado</t>
  </si>
  <si>
    <t>Ecuador: servicio 0,0113; marketing 0,074</t>
  </si>
  <si>
    <t>1 000 mensajes de servicio gratis al mes por número (desde el 1-oct-2026). Lo que escribe el cliente no se cobra</t>
  </si>
  <si>
    <t>Es WhatsApp</t>
  </si>
  <si>
    <t>Respuestas libres solo dentro de las 24 horas desde el último mensaje del cliente</t>
  </si>
  <si>
    <t>Canal del cliente: por aquí llegan hoy las solicitudes (AS-IS v0.1)</t>
  </si>
  <si>
    <t>meta_sf</t>
  </si>
  <si>
    <t>https://developers.facebook.com/documentation/business-messaging/whatsapp/pricing</t>
  </si>
  <si>
    <t>Telegram Bot API</t>
  </si>
  <si>
    <t>Bots</t>
  </si>
  <si>
    <t>sin costo</t>
  </si>
  <si>
    <t>Sin costo; solo se pagan difusiones masivas (más de 30 mensajes por segundo)</t>
  </si>
  <si>
    <t>Sí (app de Telegram)</t>
  </si>
  <si>
    <t>No</t>
  </si>
  <si>
    <t>Estable. Límite de 1 mensaje por segundo por chat</t>
  </si>
  <si>
    <t>Serviría como canal interno (avisos al vendedor), no con el cliente</t>
  </si>
  <si>
    <t>telegram_sf</t>
  </si>
  <si>
    <t>https://core.telegram.org/bots/faq</t>
  </si>
  <si>
    <t>Slack</t>
  </si>
  <si>
    <t>Free / Pro</t>
  </si>
  <si>
    <t>Free: 90 días de historial y hasta 10 apps</t>
  </si>
  <si>
    <t>Ya lo usa TEAMSLASH para alertas (diseño aprobado): canal interno</t>
  </si>
  <si>
    <t>slack_sf</t>
  </si>
  <si>
    <t>https://slack.com/pricing</t>
  </si>
  <si>
    <t>Criterios de comparación (propuesta)</t>
  </si>
  <si>
    <t>Los pesos y la puntuación se definen en el bloque H (S2-T14), con Víctor.</t>
  </si>
  <si>
    <t>Código</t>
  </si>
  <si>
    <t>Criterio</t>
  </si>
  <si>
    <t>Por qué importa para Torvesa</t>
  </si>
  <si>
    <t>Aplica a</t>
  </si>
  <si>
    <t>De dónde sale la evidencia</t>
  </si>
  <si>
    <t>C1</t>
  </si>
  <si>
    <t>Costo mensual</t>
  </si>
  <si>
    <t>Precio oficial × número de usuarios. Para el VAN, precio de lista (no ofertas temporales)</t>
  </si>
  <si>
    <t>Todos</t>
  </si>
  <si>
    <t>Hoja «Costo ilustrativo»</t>
  </si>
  <si>
    <t>C2</t>
  </si>
  <si>
    <t>Permite hacer la validación en operación experimental sin firmar un contrato largo</t>
  </si>
  <si>
    <t>Columna «Plan gratuito o prueba»</t>
  </si>
  <si>
    <t>C3</t>
  </si>
  <si>
    <t>Quien atiende suele estar en obra y responde desde el celular</t>
  </si>
  <si>
    <t>Bóveda, CRM</t>
  </si>
  <si>
    <t>AS-IS v0.1, paso 1</t>
  </si>
  <si>
    <t>C4</t>
  </si>
  <si>
    <t>Integración con WhatsApp</t>
  </si>
  <si>
    <t>Las solicitudes entran por WhatsApp personal</t>
  </si>
  <si>
    <t>CRM, mensajería</t>
  </si>
  <si>
    <t>AS-IS v0.1, pasos 1 y 3; Informe Final, p. 4</t>
  </si>
  <si>
    <t>C5</t>
  </si>
  <si>
    <t>Dónde viven los datos de clientes, si el proveedor entrena con ellos y cuánto los retiene</t>
  </si>
  <si>
    <t>lopdp_2021 (A42, A45); fichas de cada proveedor</t>
  </si>
  <si>
    <t>C6</t>
  </si>
  <si>
    <t>Madurez</t>
  </si>
  <si>
    <t>Versiones beta, alfa o preview: riesgo de cambios o retiro</t>
  </si>
  <si>
    <t>Columna «Madurez y compromiso»</t>
  </si>
  <si>
    <t>C7</t>
  </si>
  <si>
    <t>Compromiso de contrato</t>
  </si>
  <si>
    <t>Plazo mínimo de suscripción frente a la duración de la validación</t>
  </si>
  <si>
    <t>kommo_sf (mínimo 6 meses)</t>
  </si>
  <si>
    <t>C8</t>
  </si>
  <si>
    <t>Encaje con el diseño y TEAMSLASH</t>
  </si>
  <si>
    <t>Se integra con lo que ya existe: Slack, API propia y PostgreSQL</t>
  </si>
  <si>
    <t>Diseño aprobado, sección 4</t>
  </si>
  <si>
    <t>Costo mensual ilustrativo por herramienta (USD, sin impuestos)</t>
  </si>
  <si>
    <t>Celdas amarillas = SUPUESTOS, no datos de Torvesa. Se reemplazan con los datos de campo (número de vendedores, P2-B).</t>
  </si>
  <si>
    <t>Usuarios del sistema (vendedores)</t>
  </si>
  <si>
    <t>Consultas al asistente por mes</t>
  </si>
  <si>
    <t>Mensajes de servicio por WhatsApp al mes, por número</t>
  </si>
  <si>
    <t>Herramienta y plan</t>
  </si>
  <si>
    <t>Precio unitario (pago anual)</t>
  </si>
  <si>
    <t>Fórmula</t>
  </si>
  <si>
    <t>Costo al mes</t>
  </si>
  <si>
    <t>Costo al año</t>
  </si>
  <si>
    <t>Nota</t>
  </si>
  <si>
    <t>Obsidian + Sync</t>
  </si>
  <si>
    <t>usuarios × precio</t>
  </si>
  <si>
    <t>Sin Sync la app es gratis, pero no se comparte la bóveda</t>
  </si>
  <si>
    <t>Notion Plus</t>
  </si>
  <si>
    <t>Versión nueva en beta</t>
  </si>
  <si>
    <t>HubSpot Starter (lista)</t>
  </si>
  <si>
    <t>Free para 2 usuarios si alcanza</t>
  </si>
  <si>
    <t>Zoho CRM Standard</t>
  </si>
  <si>
    <t>Gratis si son 3 usuarios o menos y basta la edición gratuita</t>
  </si>
  <si>
    <t>Pipedrive Lite</t>
  </si>
  <si>
    <t>Kommo Básico (1 año)</t>
  </si>
  <si>
    <t>Más las tarifas de Meta (fila de WhatsApp)</t>
  </si>
  <si>
    <t>Claude Sonnet 5.5</t>
  </si>
  <si>
    <t>consultas × costo por consulta</t>
  </si>
  <si>
    <t>Costo por consulta de la tabla de precios LLM (4 000 + 500 tokens)</t>
  </si>
  <si>
    <t>gpt-6.1-sol</t>
  </si>
  <si>
    <t>Igual que arriba</t>
  </si>
  <si>
    <t>Gemini 3.8 Flash (2027)</t>
  </si>
  <si>
    <t>Precio desde el 1-ene-2027</t>
  </si>
  <si>
    <t>WhatsApp Business Platform</t>
  </si>
  <si>
    <t>(mensajes − 1 000 gratis) × tarifa</t>
  </si>
  <si>
    <t>Solo mensajes de servicio; marketing (0,074) aparte</t>
  </si>
  <si>
    <t>Slack Pro</t>
  </si>
  <si>
    <t>Slack Free cuesta 0</t>
  </si>
  <si>
    <t>Qué falta para cerrar el inventario (bloque H)</t>
  </si>
  <si>
    <t>Pendiente</t>
  </si>
  <si>
    <t>Quién</t>
  </si>
  <si>
    <t>Dónde</t>
  </si>
  <si>
    <t>HECHO: Diego eligió Claude Sonnet 5.5 (25-oct). Falta el visto bueno de Víctor; con eso, A36 pasa a ✅</t>
  </si>
  <si>
    <t>Víctor</t>
  </si>
  <si>
    <t>Matriz de afirmaciones (A36)</t>
  </si>
  <si>
    <t>Revisar las condiciones de datos del nivel pagado de Gemini y de los CRM (C5)</t>
  </si>
  <si>
    <t>IA de Diego</t>
  </si>
  <si>
    <t>Páginas oficiales de privacidad</t>
  </si>
  <si>
    <t>Anotar la fuente de la app móvil de Obsidian</t>
  </si>
  <si>
    <t>obsidian.md</t>
  </si>
  <si>
    <t>Definir pesos y puntuar con los criterios C1–C8</t>
  </si>
  <si>
    <t>Diego, con Víctor</t>
  </si>
  <si>
    <t>Hoja «Criterios»</t>
  </si>
  <si>
    <t>Reemplazar los supuestos de la hoja «Costo ilustrativo» con datos de campo</t>
  </si>
  <si>
    <t>Cuando Torvesa autorice</t>
  </si>
  <si>
    <t>P2-B y respuesta al correo del 25-oct</t>
  </si>
  <si>
    <t>Confirmar si aplica IVA a servicios digitales del exterior</t>
  </si>
  <si>
    <t>Víctor (finanzas)</t>
  </si>
  <si>
    <t>Sin fuente aún</t>
  </si>
  <si>
    <t>Volver a consultar todos los precios antes de cerrar el Cap. 5</t>
  </si>
  <si>
    <t>Enlaces de la hoja «Inventario»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</si>
</sst>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3" fillId="0" borderId="0" xfId="0" applyFont="1"/>
    <xf numFmtId="0" fontId="0" fillId="4" borderId="1" xfId="0" applyFill="1" applyBorder="1"/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26" customWidth="1"/>
    <col min="3" max="3" width="22" customWidth="1"/>
    <col min="4" max="4" width="18" customWidth="1"/>
    <col min="5" max="6" width="16" customWidth="1"/>
    <col min="7" max="7" width="38" customWidth="1"/>
    <col min="8" max="8" width="18" customWidth="1"/>
    <col min="9" max="9" width="26" customWidth="1"/>
    <col min="10" max="10" width="44" customWidth="1"/>
    <col min="11" max="11" width="32" customWidth="1"/>
    <col min="12" max="12" width="38" customWidth="1"/>
    <col min="13" max="13" width="26" customWidth="1"/>
    <col min="14" max="14" width="40" customWidth="1"/>
    <col min="15" max="15" width="12" customWidth="1"/>
  </cols>
  <sheetData>
    <row r="1" spans="1:15" ht="18.75" x14ac:dyDescent="0.3">
      <c r="A1" s="1" t="s">
        <v>0</v>
      </c>
    </row>
    <row r="2" spans="1:15" x14ac:dyDescent="0.25">
      <c r="A2" t="s">
        <v>1</v>
      </c>
    </row>
    <row r="4" spans="1:15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ht="45" x14ac:dyDescent="0.25">
      <c r="A5" s="3" t="s">
        <v>17</v>
      </c>
      <c r="B5" s="3" t="s">
        <v>18</v>
      </c>
      <c r="C5" s="3" t="s">
        <v>19</v>
      </c>
      <c r="D5" s="3" t="s">
        <v>20</v>
      </c>
      <c r="E5" s="4">
        <v>4</v>
      </c>
      <c r="F5" s="4">
        <v>5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</row>
    <row r="6" spans="1:15" ht="45" x14ac:dyDescent="0.25">
      <c r="A6" s="3" t="s">
        <v>17</v>
      </c>
      <c r="B6" s="3" t="s">
        <v>30</v>
      </c>
      <c r="C6" s="3" t="s">
        <v>31</v>
      </c>
      <c r="D6" s="3" t="s">
        <v>32</v>
      </c>
      <c r="E6" s="4">
        <v>10</v>
      </c>
      <c r="F6" s="4">
        <v>12</v>
      </c>
      <c r="G6" s="3" t="s">
        <v>33</v>
      </c>
      <c r="H6" s="3" t="s">
        <v>34</v>
      </c>
      <c r="I6" s="3" t="s">
        <v>23</v>
      </c>
      <c r="J6" s="3" t="s">
        <v>35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</row>
    <row r="7" spans="1:15" ht="45" x14ac:dyDescent="0.25">
      <c r="A7" s="3" t="s">
        <v>17</v>
      </c>
      <c r="B7" s="3" t="s">
        <v>41</v>
      </c>
      <c r="C7" s="3" t="s">
        <v>42</v>
      </c>
      <c r="D7" s="3" t="s">
        <v>43</v>
      </c>
      <c r="E7" s="4">
        <v>0</v>
      </c>
      <c r="F7" s="4">
        <v>0</v>
      </c>
      <c r="G7" s="3" t="s">
        <v>44</v>
      </c>
      <c r="H7" s="3" t="s">
        <v>45</v>
      </c>
      <c r="I7" s="3" t="s">
        <v>23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  <c r="O7" s="3" t="s">
        <v>40</v>
      </c>
    </row>
    <row r="8" spans="1:15" ht="60" x14ac:dyDescent="0.25">
      <c r="A8" s="5" t="s">
        <v>51</v>
      </c>
      <c r="B8" s="5" t="s">
        <v>52</v>
      </c>
      <c r="C8" s="5" t="s">
        <v>53</v>
      </c>
      <c r="D8" s="5" t="s">
        <v>32</v>
      </c>
      <c r="E8" s="6">
        <v>20</v>
      </c>
      <c r="F8" s="6">
        <v>20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36</v>
      </c>
      <c r="L8" s="5" t="s">
        <v>58</v>
      </c>
      <c r="M8" s="5" t="s">
        <v>59</v>
      </c>
      <c r="N8" s="5" t="s">
        <v>60</v>
      </c>
      <c r="O8" s="5" t="s">
        <v>40</v>
      </c>
    </row>
    <row r="9" spans="1:15" ht="30" x14ac:dyDescent="0.25">
      <c r="A9" s="5" t="s">
        <v>51</v>
      </c>
      <c r="B9" s="5" t="s">
        <v>61</v>
      </c>
      <c r="C9" s="5" t="s">
        <v>62</v>
      </c>
      <c r="D9" s="5" t="s">
        <v>63</v>
      </c>
      <c r="E9" s="6">
        <v>12</v>
      </c>
      <c r="F9" s="6">
        <v>18</v>
      </c>
      <c r="G9" s="5" t="s">
        <v>64</v>
      </c>
      <c r="H9" s="5" t="s">
        <v>65</v>
      </c>
      <c r="I9" s="5" t="s">
        <v>34</v>
      </c>
      <c r="J9" s="5" t="s">
        <v>66</v>
      </c>
      <c r="K9" s="5" t="s">
        <v>36</v>
      </c>
      <c r="L9" s="5" t="s">
        <v>67</v>
      </c>
      <c r="M9" s="5" t="s">
        <v>68</v>
      </c>
      <c r="N9" s="5" t="s">
        <v>69</v>
      </c>
      <c r="O9" s="5" t="s">
        <v>40</v>
      </c>
    </row>
    <row r="10" spans="1:15" ht="30" x14ac:dyDescent="0.25">
      <c r="A10" s="5" t="s">
        <v>51</v>
      </c>
      <c r="B10" s="5" t="s">
        <v>70</v>
      </c>
      <c r="C10" s="5" t="s">
        <v>71</v>
      </c>
      <c r="D10" s="5" t="s">
        <v>32</v>
      </c>
      <c r="E10" s="6">
        <v>14</v>
      </c>
      <c r="F10" s="6">
        <v>19</v>
      </c>
      <c r="G10" s="5" t="s">
        <v>72</v>
      </c>
      <c r="H10" s="5" t="s">
        <v>73</v>
      </c>
      <c r="I10" s="5" t="s">
        <v>34</v>
      </c>
      <c r="J10" s="5" t="s">
        <v>57</v>
      </c>
      <c r="K10" s="5" t="s">
        <v>36</v>
      </c>
      <c r="L10" s="5" t="s">
        <v>74</v>
      </c>
      <c r="M10" s="5" t="s">
        <v>75</v>
      </c>
      <c r="N10" s="5" t="s">
        <v>76</v>
      </c>
      <c r="O10" s="5" t="s">
        <v>40</v>
      </c>
    </row>
    <row r="11" spans="1:15" ht="45" x14ac:dyDescent="0.25">
      <c r="A11" s="5" t="s">
        <v>51</v>
      </c>
      <c r="B11" s="5" t="s">
        <v>77</v>
      </c>
      <c r="C11" s="5" t="s">
        <v>78</v>
      </c>
      <c r="D11" s="5" t="s">
        <v>63</v>
      </c>
      <c r="E11" s="6">
        <v>16.670000000000002</v>
      </c>
      <c r="F11" s="5"/>
      <c r="G11" s="5" t="s">
        <v>79</v>
      </c>
      <c r="H11" s="5" t="s">
        <v>80</v>
      </c>
      <c r="I11" s="5" t="s">
        <v>81</v>
      </c>
      <c r="J11" s="5" t="s">
        <v>57</v>
      </c>
      <c r="K11" s="5" t="s">
        <v>82</v>
      </c>
      <c r="L11" s="5" t="s">
        <v>83</v>
      </c>
      <c r="M11" s="5" t="s">
        <v>84</v>
      </c>
      <c r="N11" s="5" t="s">
        <v>85</v>
      </c>
      <c r="O11" s="5" t="s">
        <v>40</v>
      </c>
    </row>
    <row r="12" spans="1:15" ht="60" x14ac:dyDescent="0.25">
      <c r="A12" s="3" t="s">
        <v>86</v>
      </c>
      <c r="B12" s="3" t="s">
        <v>87</v>
      </c>
      <c r="C12" s="3" t="s">
        <v>88</v>
      </c>
      <c r="D12" s="3" t="s">
        <v>89</v>
      </c>
      <c r="E12" s="3" t="s">
        <v>90</v>
      </c>
      <c r="F12" s="3" t="s">
        <v>91</v>
      </c>
      <c r="G12" s="3" t="s">
        <v>92</v>
      </c>
      <c r="H12" s="3" t="s">
        <v>23</v>
      </c>
      <c r="I12" s="3" t="s">
        <v>23</v>
      </c>
      <c r="J12" s="3" t="s">
        <v>93</v>
      </c>
      <c r="K12" s="3" t="s">
        <v>36</v>
      </c>
      <c r="L12" s="3" t="s">
        <v>94</v>
      </c>
      <c r="M12" s="3" t="s">
        <v>95</v>
      </c>
      <c r="N12" s="3" t="s">
        <v>96</v>
      </c>
      <c r="O12" s="3" t="s">
        <v>40</v>
      </c>
    </row>
    <row r="13" spans="1:15" ht="60" x14ac:dyDescent="0.25">
      <c r="A13" s="3" t="s">
        <v>86</v>
      </c>
      <c r="B13" s="3" t="s">
        <v>97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23</v>
      </c>
      <c r="I13" s="3" t="s">
        <v>23</v>
      </c>
      <c r="J13" s="3" t="s">
        <v>98</v>
      </c>
      <c r="K13" s="3" t="s">
        <v>36</v>
      </c>
      <c r="L13" s="3" t="s">
        <v>99</v>
      </c>
      <c r="M13" s="3" t="s">
        <v>100</v>
      </c>
      <c r="N13" s="3" t="s">
        <v>101</v>
      </c>
      <c r="O13" s="3" t="s">
        <v>40</v>
      </c>
    </row>
    <row r="14" spans="1:15" ht="60" x14ac:dyDescent="0.25">
      <c r="A14" s="3" t="s">
        <v>86</v>
      </c>
      <c r="B14" s="3" t="s">
        <v>102</v>
      </c>
      <c r="C14" s="3" t="s">
        <v>103</v>
      </c>
      <c r="D14" s="3" t="s">
        <v>89</v>
      </c>
      <c r="E14" s="3" t="s">
        <v>104</v>
      </c>
      <c r="F14" s="3" t="s">
        <v>91</v>
      </c>
      <c r="G14" s="3" t="s">
        <v>105</v>
      </c>
      <c r="H14" s="3" t="s">
        <v>23</v>
      </c>
      <c r="I14" s="3" t="s">
        <v>23</v>
      </c>
      <c r="J14" s="3" t="s">
        <v>106</v>
      </c>
      <c r="K14" s="3" t="s">
        <v>107</v>
      </c>
      <c r="L14" s="3" t="s">
        <v>108</v>
      </c>
      <c r="M14" s="3" t="s">
        <v>109</v>
      </c>
      <c r="N14" s="3" t="s">
        <v>110</v>
      </c>
      <c r="O14" s="3" t="s">
        <v>40</v>
      </c>
    </row>
    <row r="15" spans="1:15" ht="45" x14ac:dyDescent="0.25">
      <c r="A15" s="5" t="s">
        <v>111</v>
      </c>
      <c r="B15" s="5" t="s">
        <v>112</v>
      </c>
      <c r="C15" s="5" t="s">
        <v>113</v>
      </c>
      <c r="D15" s="5" t="s">
        <v>114</v>
      </c>
      <c r="E15" s="5" t="s">
        <v>115</v>
      </c>
      <c r="F15" s="5" t="s">
        <v>91</v>
      </c>
      <c r="G15" s="5" t="s">
        <v>116</v>
      </c>
      <c r="H15" s="5" t="s">
        <v>23</v>
      </c>
      <c r="I15" s="5" t="s">
        <v>117</v>
      </c>
      <c r="J15" s="5" t="s">
        <v>57</v>
      </c>
      <c r="K15" s="5" t="s">
        <v>118</v>
      </c>
      <c r="L15" s="5" t="s">
        <v>119</v>
      </c>
      <c r="M15" s="5" t="s">
        <v>120</v>
      </c>
      <c r="N15" s="5" t="s">
        <v>121</v>
      </c>
      <c r="O15" s="5" t="s">
        <v>40</v>
      </c>
    </row>
    <row r="16" spans="1:15" ht="45" x14ac:dyDescent="0.25">
      <c r="A16" s="5" t="s">
        <v>111</v>
      </c>
      <c r="B16" s="5" t="s">
        <v>122</v>
      </c>
      <c r="C16" s="5" t="s">
        <v>123</v>
      </c>
      <c r="D16" s="5" t="s">
        <v>124</v>
      </c>
      <c r="E16" s="6">
        <v>0</v>
      </c>
      <c r="F16" s="6">
        <v>0</v>
      </c>
      <c r="G16" s="5" t="s">
        <v>125</v>
      </c>
      <c r="H16" s="5" t="s">
        <v>126</v>
      </c>
      <c r="I16" s="5" t="s">
        <v>127</v>
      </c>
      <c r="J16" s="5" t="s">
        <v>57</v>
      </c>
      <c r="K16" s="5" t="s">
        <v>128</v>
      </c>
      <c r="L16" s="5" t="s">
        <v>129</v>
      </c>
      <c r="M16" s="5" t="s">
        <v>130</v>
      </c>
      <c r="N16" s="5" t="s">
        <v>131</v>
      </c>
      <c r="O16" s="5" t="s">
        <v>40</v>
      </c>
    </row>
    <row r="17" spans="1:15" ht="30" x14ac:dyDescent="0.25">
      <c r="A17" s="5" t="s">
        <v>111</v>
      </c>
      <c r="B17" s="5" t="s">
        <v>132</v>
      </c>
      <c r="C17" s="5" t="s">
        <v>133</v>
      </c>
      <c r="D17" s="5" t="s">
        <v>63</v>
      </c>
      <c r="E17" s="6">
        <v>7.25</v>
      </c>
      <c r="F17" s="6">
        <v>8.75</v>
      </c>
      <c r="G17" s="5" t="s">
        <v>134</v>
      </c>
      <c r="H17" s="5" t="s">
        <v>34</v>
      </c>
      <c r="I17" s="5" t="s">
        <v>127</v>
      </c>
      <c r="J17" s="5" t="s">
        <v>57</v>
      </c>
      <c r="K17" s="5" t="s">
        <v>36</v>
      </c>
      <c r="L17" s="5" t="s">
        <v>135</v>
      </c>
      <c r="M17" s="5" t="s">
        <v>136</v>
      </c>
      <c r="N17" s="5" t="s">
        <v>137</v>
      </c>
      <c r="O17" s="5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26" customWidth="1"/>
    <col min="3" max="3" width="60" customWidth="1"/>
    <col min="4" max="4" width="18" customWidth="1"/>
    <col min="5" max="5" width="44" customWidth="1"/>
  </cols>
  <sheetData>
    <row r="1" spans="1:5" ht="18.75" x14ac:dyDescent="0.3">
      <c r="A1" s="1" t="s">
        <v>138</v>
      </c>
    </row>
    <row r="2" spans="1:5" x14ac:dyDescent="0.25">
      <c r="A2" t="s">
        <v>139</v>
      </c>
    </row>
    <row r="4" spans="1:5" x14ac:dyDescent="0.25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144</v>
      </c>
    </row>
    <row r="5" spans="1:5" ht="30" x14ac:dyDescent="0.25">
      <c r="A5" s="3" t="s">
        <v>145</v>
      </c>
      <c r="B5" s="3" t="s">
        <v>146</v>
      </c>
      <c r="C5" s="3" t="s">
        <v>147</v>
      </c>
      <c r="D5" s="3" t="s">
        <v>148</v>
      </c>
      <c r="E5" s="3" t="s">
        <v>149</v>
      </c>
    </row>
    <row r="6" spans="1:5" ht="30" x14ac:dyDescent="0.25">
      <c r="A6" s="3" t="s">
        <v>150</v>
      </c>
      <c r="B6" s="3" t="s">
        <v>8</v>
      </c>
      <c r="C6" s="3" t="s">
        <v>151</v>
      </c>
      <c r="D6" s="3" t="s">
        <v>148</v>
      </c>
      <c r="E6" s="3" t="s">
        <v>152</v>
      </c>
    </row>
    <row r="7" spans="1:5" x14ac:dyDescent="0.25">
      <c r="A7" s="3" t="s">
        <v>153</v>
      </c>
      <c r="B7" s="3" t="s">
        <v>9</v>
      </c>
      <c r="C7" s="3" t="s">
        <v>154</v>
      </c>
      <c r="D7" s="3" t="s">
        <v>155</v>
      </c>
      <c r="E7" s="3" t="s">
        <v>156</v>
      </c>
    </row>
    <row r="8" spans="1:5" x14ac:dyDescent="0.25">
      <c r="A8" s="3" t="s">
        <v>157</v>
      </c>
      <c r="B8" s="3" t="s">
        <v>158</v>
      </c>
      <c r="C8" s="3" t="s">
        <v>159</v>
      </c>
      <c r="D8" s="3" t="s">
        <v>160</v>
      </c>
      <c r="E8" s="3" t="s">
        <v>161</v>
      </c>
    </row>
    <row r="9" spans="1:5" ht="30" x14ac:dyDescent="0.25">
      <c r="A9" s="3" t="s">
        <v>162</v>
      </c>
      <c r="B9" s="3" t="s">
        <v>11</v>
      </c>
      <c r="C9" s="3" t="s">
        <v>163</v>
      </c>
      <c r="D9" s="3" t="s">
        <v>148</v>
      </c>
      <c r="E9" s="3" t="s">
        <v>164</v>
      </c>
    </row>
    <row r="10" spans="1:5" x14ac:dyDescent="0.25">
      <c r="A10" s="3" t="s">
        <v>165</v>
      </c>
      <c r="B10" s="3" t="s">
        <v>166</v>
      </c>
      <c r="C10" s="3" t="s">
        <v>167</v>
      </c>
      <c r="D10" s="3" t="s">
        <v>148</v>
      </c>
      <c r="E10" s="3" t="s">
        <v>168</v>
      </c>
    </row>
    <row r="11" spans="1:5" x14ac:dyDescent="0.25">
      <c r="A11" s="3" t="s">
        <v>169</v>
      </c>
      <c r="B11" s="3" t="s">
        <v>170</v>
      </c>
      <c r="C11" s="3" t="s">
        <v>171</v>
      </c>
      <c r="D11" s="3" t="s">
        <v>51</v>
      </c>
      <c r="E11" s="3" t="s">
        <v>172</v>
      </c>
    </row>
    <row r="12" spans="1:5" ht="30" x14ac:dyDescent="0.25">
      <c r="A12" s="3" t="s">
        <v>173</v>
      </c>
      <c r="B12" s="3" t="s">
        <v>174</v>
      </c>
      <c r="C12" s="3" t="s">
        <v>175</v>
      </c>
      <c r="D12" s="3" t="s">
        <v>148</v>
      </c>
      <c r="E12" s="3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/>
  </sheetViews>
  <sheetFormatPr baseColWidth="10" defaultColWidth="9.140625" defaultRowHeight="15" x14ac:dyDescent="0.25"/>
  <cols>
    <col min="1" max="1" width="46" customWidth="1"/>
    <col min="2" max="2" width="30" customWidth="1"/>
    <col min="3" max="3" width="16" customWidth="1"/>
    <col min="4" max="4" width="32" customWidth="1"/>
    <col min="5" max="6" width="14" customWidth="1"/>
    <col min="7" max="7" width="56" customWidth="1"/>
  </cols>
  <sheetData>
    <row r="1" spans="1:7" ht="18.75" x14ac:dyDescent="0.3">
      <c r="A1" s="1" t="s">
        <v>177</v>
      </c>
    </row>
    <row r="2" spans="1:7" x14ac:dyDescent="0.25">
      <c r="A2" t="s">
        <v>178</v>
      </c>
    </row>
    <row r="4" spans="1:7" x14ac:dyDescent="0.25">
      <c r="A4" s="7" t="s">
        <v>179</v>
      </c>
      <c r="B4" s="8">
        <v>3</v>
      </c>
    </row>
    <row r="5" spans="1:7" x14ac:dyDescent="0.25">
      <c r="A5" s="7" t="s">
        <v>180</v>
      </c>
      <c r="B5" s="8">
        <v>1000</v>
      </c>
    </row>
    <row r="6" spans="1:7" x14ac:dyDescent="0.25">
      <c r="A6" s="7" t="s">
        <v>181</v>
      </c>
      <c r="B6" s="8">
        <v>600</v>
      </c>
    </row>
    <row r="9" spans="1:7" ht="30" x14ac:dyDescent="0.25">
      <c r="A9" s="2" t="s">
        <v>2</v>
      </c>
      <c r="B9" s="2" t="s">
        <v>182</v>
      </c>
      <c r="C9" s="2" t="s">
        <v>183</v>
      </c>
      <c r="D9" s="2" t="s">
        <v>184</v>
      </c>
      <c r="E9" s="2" t="s">
        <v>185</v>
      </c>
      <c r="F9" s="2" t="s">
        <v>186</v>
      </c>
      <c r="G9" s="2" t="s">
        <v>187</v>
      </c>
    </row>
    <row r="10" spans="1:7" x14ac:dyDescent="0.25">
      <c r="A10" s="3" t="s">
        <v>17</v>
      </c>
      <c r="B10" s="3" t="s">
        <v>188</v>
      </c>
      <c r="C10" s="9">
        <v>4</v>
      </c>
      <c r="D10" s="3" t="s">
        <v>189</v>
      </c>
      <c r="E10" s="4">
        <f>$B$4*C10</f>
        <v>12</v>
      </c>
      <c r="F10" s="4">
        <f t="shared" ref="F10:F22" si="0">E10*12</f>
        <v>144</v>
      </c>
      <c r="G10" s="3" t="s">
        <v>190</v>
      </c>
    </row>
    <row r="11" spans="1:7" x14ac:dyDescent="0.25">
      <c r="A11" s="3" t="s">
        <v>17</v>
      </c>
      <c r="B11" s="3" t="s">
        <v>191</v>
      </c>
      <c r="C11" s="9">
        <v>10</v>
      </c>
      <c r="D11" s="3" t="s">
        <v>189</v>
      </c>
      <c r="E11" s="4">
        <f>$B$4*C11</f>
        <v>30</v>
      </c>
      <c r="F11" s="4">
        <f t="shared" si="0"/>
        <v>360</v>
      </c>
      <c r="G11" s="3"/>
    </row>
    <row r="12" spans="1:7" x14ac:dyDescent="0.25">
      <c r="A12" s="3" t="s">
        <v>17</v>
      </c>
      <c r="B12" s="3" t="s">
        <v>41</v>
      </c>
      <c r="C12" s="9">
        <v>0</v>
      </c>
      <c r="D12" s="3" t="s">
        <v>124</v>
      </c>
      <c r="E12" s="4">
        <f>0</f>
        <v>0</v>
      </c>
      <c r="F12" s="4">
        <f t="shared" si="0"/>
        <v>0</v>
      </c>
      <c r="G12" s="3" t="s">
        <v>192</v>
      </c>
    </row>
    <row r="13" spans="1:7" x14ac:dyDescent="0.25">
      <c r="A13" s="3" t="s">
        <v>51</v>
      </c>
      <c r="B13" s="3" t="s">
        <v>193</v>
      </c>
      <c r="C13" s="9">
        <v>20</v>
      </c>
      <c r="D13" s="3" t="s">
        <v>189</v>
      </c>
      <c r="E13" s="4">
        <f>$B$4*C13</f>
        <v>60</v>
      </c>
      <c r="F13" s="4">
        <f t="shared" si="0"/>
        <v>720</v>
      </c>
      <c r="G13" s="3" t="s">
        <v>194</v>
      </c>
    </row>
    <row r="14" spans="1:7" x14ac:dyDescent="0.25">
      <c r="A14" s="3" t="s">
        <v>51</v>
      </c>
      <c r="B14" s="3" t="s">
        <v>195</v>
      </c>
      <c r="C14" s="9">
        <v>12</v>
      </c>
      <c r="D14" s="3" t="s">
        <v>189</v>
      </c>
      <c r="E14" s="4">
        <f>$B$4*C14</f>
        <v>36</v>
      </c>
      <c r="F14" s="4">
        <f t="shared" si="0"/>
        <v>432</v>
      </c>
      <c r="G14" s="3" t="s">
        <v>196</v>
      </c>
    </row>
    <row r="15" spans="1:7" x14ac:dyDescent="0.25">
      <c r="A15" s="3" t="s">
        <v>51</v>
      </c>
      <c r="B15" s="3" t="s">
        <v>197</v>
      </c>
      <c r="C15" s="9">
        <v>14</v>
      </c>
      <c r="D15" s="3" t="s">
        <v>189</v>
      </c>
      <c r="E15" s="4">
        <f>$B$4*C15</f>
        <v>42</v>
      </c>
      <c r="F15" s="4">
        <f t="shared" si="0"/>
        <v>504</v>
      </c>
      <c r="G15" s="3"/>
    </row>
    <row r="16" spans="1:7" x14ac:dyDescent="0.25">
      <c r="A16" s="3" t="s">
        <v>51</v>
      </c>
      <c r="B16" s="3" t="s">
        <v>198</v>
      </c>
      <c r="C16" s="9">
        <f>200/12</f>
        <v>16.666666666666668</v>
      </c>
      <c r="D16" s="3" t="s">
        <v>189</v>
      </c>
      <c r="E16" s="4">
        <f>$B$4*C16</f>
        <v>50</v>
      </c>
      <c r="F16" s="4">
        <f t="shared" si="0"/>
        <v>600</v>
      </c>
      <c r="G16" s="3" t="s">
        <v>199</v>
      </c>
    </row>
    <row r="17" spans="1:7" ht="30" x14ac:dyDescent="0.25">
      <c r="A17" s="3" t="s">
        <v>86</v>
      </c>
      <c r="B17" s="3" t="s">
        <v>200</v>
      </c>
      <c r="C17" s="9">
        <v>1.2999999999999999E-2</v>
      </c>
      <c r="D17" s="3" t="s">
        <v>201</v>
      </c>
      <c r="E17" s="4">
        <f>$B$5*C17</f>
        <v>13</v>
      </c>
      <c r="F17" s="4">
        <f t="shared" si="0"/>
        <v>156</v>
      </c>
      <c r="G17" s="3" t="s">
        <v>202</v>
      </c>
    </row>
    <row r="18" spans="1:7" x14ac:dyDescent="0.25">
      <c r="A18" s="3" t="s">
        <v>86</v>
      </c>
      <c r="B18" s="3" t="s">
        <v>203</v>
      </c>
      <c r="C18" s="9">
        <v>1.2999999999999999E-2</v>
      </c>
      <c r="D18" s="3" t="s">
        <v>201</v>
      </c>
      <c r="E18" s="4">
        <f>$B$5*C18</f>
        <v>13</v>
      </c>
      <c r="F18" s="4">
        <f t="shared" si="0"/>
        <v>156</v>
      </c>
      <c r="G18" s="3" t="s">
        <v>204</v>
      </c>
    </row>
    <row r="19" spans="1:7" x14ac:dyDescent="0.25">
      <c r="A19" s="3" t="s">
        <v>86</v>
      </c>
      <c r="B19" s="3" t="s">
        <v>205</v>
      </c>
      <c r="C19" s="9">
        <v>9.75E-3</v>
      </c>
      <c r="D19" s="3" t="s">
        <v>201</v>
      </c>
      <c r="E19" s="4">
        <f>$B$5*C19</f>
        <v>9.75</v>
      </c>
      <c r="F19" s="4">
        <f t="shared" si="0"/>
        <v>117</v>
      </c>
      <c r="G19" s="3" t="s">
        <v>206</v>
      </c>
    </row>
    <row r="20" spans="1:7" x14ac:dyDescent="0.25">
      <c r="A20" s="3" t="s">
        <v>111</v>
      </c>
      <c r="B20" s="3" t="s">
        <v>207</v>
      </c>
      <c r="C20" s="9">
        <v>1.1299999999999999E-2</v>
      </c>
      <c r="D20" s="3" t="s">
        <v>208</v>
      </c>
      <c r="E20" s="4">
        <f>MAX(0,$B$6-1000)*C20</f>
        <v>0</v>
      </c>
      <c r="F20" s="4">
        <f t="shared" si="0"/>
        <v>0</v>
      </c>
      <c r="G20" s="3" t="s">
        <v>209</v>
      </c>
    </row>
    <row r="21" spans="1:7" x14ac:dyDescent="0.25">
      <c r="A21" s="3" t="s">
        <v>111</v>
      </c>
      <c r="B21" s="3" t="s">
        <v>122</v>
      </c>
      <c r="C21" s="9">
        <v>0</v>
      </c>
      <c r="D21" s="3" t="s">
        <v>124</v>
      </c>
      <c r="E21" s="4">
        <f>0</f>
        <v>0</v>
      </c>
      <c r="F21" s="4">
        <f t="shared" si="0"/>
        <v>0</v>
      </c>
      <c r="G21" s="3"/>
    </row>
    <row r="22" spans="1:7" x14ac:dyDescent="0.25">
      <c r="A22" s="3" t="s">
        <v>111</v>
      </c>
      <c r="B22" s="3" t="s">
        <v>210</v>
      </c>
      <c r="C22" s="9">
        <v>7.25</v>
      </c>
      <c r="D22" s="3" t="s">
        <v>189</v>
      </c>
      <c r="E22" s="4">
        <f>$B$4*C22</f>
        <v>21.75</v>
      </c>
      <c r="F22" s="4">
        <f t="shared" si="0"/>
        <v>261</v>
      </c>
      <c r="G22" s="3" t="s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70" customWidth="1"/>
    <col min="2" max="2" width="24" customWidth="1"/>
    <col min="3" max="3" width="44" customWidth="1"/>
  </cols>
  <sheetData>
    <row r="1" spans="1:3" ht="18.75" x14ac:dyDescent="0.3">
      <c r="A1" s="1" t="s">
        <v>212</v>
      </c>
    </row>
    <row r="4" spans="1:3" x14ac:dyDescent="0.25">
      <c r="A4" s="2" t="s">
        <v>213</v>
      </c>
      <c r="B4" s="2" t="s">
        <v>214</v>
      </c>
      <c r="C4" s="2" t="s">
        <v>215</v>
      </c>
    </row>
    <row r="5" spans="1:3" ht="30" x14ac:dyDescent="0.25">
      <c r="A5" s="3" t="s">
        <v>216</v>
      </c>
      <c r="B5" s="3" t="s">
        <v>217</v>
      </c>
      <c r="C5" s="3" t="s">
        <v>218</v>
      </c>
    </row>
    <row r="6" spans="1:3" ht="30" x14ac:dyDescent="0.25">
      <c r="A6" s="3" t="s">
        <v>219</v>
      </c>
      <c r="B6" s="3" t="s">
        <v>220</v>
      </c>
      <c r="C6" s="3" t="s">
        <v>221</v>
      </c>
    </row>
    <row r="7" spans="1:3" x14ac:dyDescent="0.25">
      <c r="A7" s="3" t="s">
        <v>222</v>
      </c>
      <c r="B7" s="3" t="s">
        <v>220</v>
      </c>
      <c r="C7" s="3" t="s">
        <v>223</v>
      </c>
    </row>
    <row r="8" spans="1:3" x14ac:dyDescent="0.25">
      <c r="A8" s="3" t="s">
        <v>224</v>
      </c>
      <c r="B8" s="3" t="s">
        <v>225</v>
      </c>
      <c r="C8" s="3" t="s">
        <v>226</v>
      </c>
    </row>
    <row r="9" spans="1:3" x14ac:dyDescent="0.25">
      <c r="A9" s="3" t="s">
        <v>227</v>
      </c>
      <c r="B9" s="3" t="s">
        <v>228</v>
      </c>
      <c r="C9" s="3" t="s">
        <v>229</v>
      </c>
    </row>
    <row r="10" spans="1:3" x14ac:dyDescent="0.25">
      <c r="A10" s="3" t="s">
        <v>230</v>
      </c>
      <c r="B10" s="3" t="s">
        <v>231</v>
      </c>
      <c r="C10" s="3" t="s">
        <v>232</v>
      </c>
    </row>
    <row r="11" spans="1:3" x14ac:dyDescent="0.25">
      <c r="A11" s="3" t="s">
        <v>233</v>
      </c>
      <c r="B11" s="3" t="s">
        <v>220</v>
      </c>
      <c r="C11" s="3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Criterios</vt:lpstr>
      <vt:lpstr>Costo ilustrativo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Bermeo</cp:lastModifiedBy>
  <dcterms:created xsi:type="dcterms:W3CDTF">2026-10-25T23:37:36Z</dcterms:created>
  <dcterms:modified xsi:type="dcterms:W3CDTF">2026-10-25T23:37:37Z</dcterms:modified>
</cp:coreProperties>
</file>