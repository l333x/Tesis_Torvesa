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S1" sheetId="3" state="visible" r:id="rId3"/>
    <sheet xmlns:r="http://schemas.openxmlformats.org/officeDocument/2006/relationships" name="Carga" sheetId="4" state="visible" r:id="rId4"/>
    <sheet xmlns:r="http://schemas.openxmlformats.org/officeDocument/2006/relationships" name="S2" sheetId="5" state="visible" r:id="rId5"/>
    <sheet xmlns:r="http://schemas.openxmlformats.org/officeDocument/2006/relationships" name="S3" sheetId="6" state="visible" r:id="rId6"/>
    <sheet xmlns:r="http://schemas.openxmlformats.org/officeDocument/2006/relationships" name="S4" sheetId="7" state="visible" r:id="rId7"/>
    <sheet xmlns:r="http://schemas.openxmlformats.org/officeDocument/2006/relationships" name="S5" sheetId="8" state="visible" r:id="rId8"/>
    <sheet xmlns:r="http://schemas.openxmlformats.org/officeDocument/2006/relationships" name="S6" sheetId="9" state="visible" r:id="rId9"/>
    <sheet xmlns:r="http://schemas.openxmlformats.org/officeDocument/2006/relationships" name="S7" sheetId="10" state="visible" r:id="rId10"/>
    <sheet xmlns:r="http://schemas.openxmlformats.org/officeDocument/2006/relationships" name="S8" sheetId="11" state="visible" r:id="rId11"/>
    <sheet xmlns:r="http://schemas.openxmlformats.org/officeDocument/2006/relationships" name="S9" sheetId="12" state="visible" r:id="rId12"/>
    <sheet xmlns:r="http://schemas.openxmlformats.org/officeDocument/2006/relationships" name="S10" sheetId="13" state="visible" r:id="rId13"/>
    <sheet xmlns:r="http://schemas.openxmlformats.org/officeDocument/2006/relationships" name="Holgura" sheetId="14" state="visible" r:id="rId14"/>
    <sheet xmlns:r="http://schemas.openxmlformats.org/officeDocument/2006/relationships" name="Entrega" sheetId="15" state="visible" r:id="rId15"/>
    <sheet xmlns:r="http://schemas.openxmlformats.org/officeDocument/2006/relationships" name="Defensa" sheetId="16" state="visible" r:id="rId16"/>
  </sheets>
  <definedNames>
    <definedName name="_xlnm._FilterDatabase" localSheetId="2" hidden="1">'S1'!$A$5:$N$32</definedName>
    <definedName name="_xlnm._FilterDatabase" localSheetId="4" hidden="1">'S2'!$A$5:$N$23</definedName>
    <definedName name="_xlnm._FilterDatabase" localSheetId="5" hidden="1">'S3'!$A$5:$N$24</definedName>
    <definedName name="_xlnm._FilterDatabase" localSheetId="6" hidden="1">'S4'!$A$5:$N$22</definedName>
    <definedName name="_xlnm._FilterDatabase" localSheetId="7" hidden="1">'S5'!$A$5:$N$20</definedName>
    <definedName name="_xlnm._FilterDatabase" localSheetId="8" hidden="1">'S6'!$A$5:$N$17</definedName>
    <definedName name="_xlnm._FilterDatabase" localSheetId="9" hidden="1">'S7'!$A$5:$N$19</definedName>
    <definedName name="_xlnm._FilterDatabase" localSheetId="10" hidden="1">'S8'!$A$5:$N$23</definedName>
    <definedName name="_xlnm._FilterDatabase" localSheetId="11" hidden="1">'S9'!$A$5:$N$15</definedName>
    <definedName name="_xlnm._FilterDatabase" localSheetId="12" hidden="1">'S10'!$A$5:$N$13</definedName>
    <definedName name="_xlnm._FilterDatabase" localSheetId="13" hidden="1">'Holgura'!$A$5:$N$11</definedName>
    <definedName name="_xlnm._FilterDatabase" localSheetId="14" hidden="1">'Entrega'!$A$5:$N$9</definedName>
    <definedName name="_xlnm._FilterDatabase" localSheetId="15" hidden="1">'Defensa'!$A$5:$N$10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-mmm"/>
    <numFmt numFmtId="165" formatCode="dddd"/>
    <numFmt numFmtId="166" formatCode="0.0"/>
    <numFmt numFmtId="167" formatCode="dd-mmm-yy"/>
    <numFmt numFmtId="168" formatCode="yyyy-mm-dd"/>
    <numFmt numFmtId="169" formatCode="yyyy-mm-dd h:mm:ss"/>
  </numFmts>
  <fonts count="12">
    <font>
      <name val="Calibri"/>
      <family val="2"/>
      <color theme="1"/>
      <sz val="11"/>
      <scheme val="minor"/>
    </font>
    <font>
      <name val="Poppins"/>
      <b val="1"/>
      <color rgb="00FFFFFF"/>
      <sz val="15"/>
    </font>
    <font>
      <name val="Lato"/>
      <color rgb="00E6C3A0"/>
      <sz val="10"/>
    </font>
    <font>
      <name val="Lato"/>
      <b val="1"/>
    </font>
    <font>
      <name val="Poppins"/>
      <b val="1"/>
      <color rgb="00B87333"/>
      <sz val="12"/>
    </font>
    <font>
      <name val="Lato"/>
      <color rgb="000B1F3A"/>
    </font>
    <font>
      <name val="Poppins"/>
      <b val="1"/>
      <color rgb="00FFFFFF"/>
      <sz val="9.5"/>
    </font>
    <font>
      <name val="Lato"/>
      <sz val="9.5"/>
    </font>
    <font>
      <name val="Lato"/>
      <sz val="10"/>
    </font>
    <font>
      <name val="Poppins"/>
      <b val="1"/>
    </font>
    <font>
      <name val="Poppins"/>
      <b val="1"/>
      <color rgb="000B1F3A"/>
    </font>
    <font>
      <name val="Lato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B87333"/>
      </patternFill>
    </fill>
  </fills>
  <borders count="2">
    <border>
      <left/>
      <right/>
      <top/>
      <bottom/>
      <diagonal/>
    </border>
    <border>
      <left style="thin">
        <color rgb="00D5DCE6"/>
      </left>
      <right style="thin">
        <color rgb="00D5DCE6"/>
      </right>
      <top style="thin">
        <color rgb="00D5DCE6"/>
      </top>
      <bottom style="thin">
        <color rgb="00D5DCE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6" fillId="3" borderId="0" pivotButton="0" quotePrefix="0" xfId="0"/>
    <xf numFmtId="0" fontId="8" fillId="0" borderId="1" pivotButton="0" quotePrefix="0" xfId="0"/>
    <xf numFmtId="9" fontId="8" fillId="0" borderId="1" pivotButton="0" quotePrefix="0" xfId="0"/>
    <xf numFmtId="0" fontId="9" fillId="0" borderId="0" pivotButton="0" quotePrefix="0" xfId="0"/>
    <xf numFmtId="9" fontId="0" fillId="0" borderId="0" pivotButton="0" quotePrefix="0" xfId="0"/>
    <xf numFmtId="0" fontId="3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7" fontId="7" fillId="0" borderId="1" pivotButton="0" quotePrefix="0" xfId="0"/>
    <xf numFmtId="165" fontId="7" fillId="0" borderId="1" pivotButton="0" quotePrefix="0" xfId="0"/>
    <xf numFmtId="0" fontId="7" fillId="0" borderId="1" pivotButton="0" quotePrefix="0" xfId="0"/>
    <xf numFmtId="164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  <xf numFmtId="166" fontId="7" fillId="0" borderId="1" applyAlignment="1" pivotButton="0" quotePrefix="0" xfId="0">
      <alignment vertical="top" wrapText="1"/>
    </xf>
    <xf numFmtId="167" fontId="7" fillId="0" borderId="1" pivotButton="0" quotePrefix="0" xfId="0"/>
    <xf numFmtId="165" fontId="7" fillId="0" borderId="1" pivotButton="0" quotePrefix="0" xfId="0"/>
    <xf numFmtId="168" fontId="7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F8D3D0"/>
        </patternFill>
      </fill>
    </dxf>
    <dxf>
      <fill>
        <patternFill patternType="solid">
          <fgColor rgb="00D9EFDE"/>
        </patternFill>
      </fill>
    </dxf>
    <dxf>
      <fill>
        <patternFill patternType="solid">
          <fgColor rgb="00FFF2C7"/>
        </patternFill>
      </fill>
    </dxf>
    <dxf>
      <font>
        <strike val="1"/>
        <color rgb="00999999"/>
      </font>
    </dxf>
    <dxf>
      <fill>
        <patternFill patternType="solid">
          <fgColor rgb="00EEF2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de avance por sprint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'Resumen'!$A$5:$A$17</f>
            </numRef>
          </cat>
          <val>
            <numRef>
              <f>'Resumen'!$E$5:$E$17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avance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26" customHeight="1">
      <c r="A1" s="1" t="inlineStr">
        <is>
          <t>Cronograma de la tesis · cómo usarlo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Sprints semanales (Scrum): lunes a sábado tareas; domingo en la noche, revisión y planificación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4" ht="32" customHeight="1">
      <c r="A4" s="4" t="inlineStr">
        <is>
          <t>Qué es</t>
        </is>
      </c>
      <c r="B4" s="5" t="inlineStr">
        <is>
          <t>Una hoja por sprint (semana de trabajo). Cada fila es una tarea con su día, responsable, lugar, resultado y cómo saber que está terminada.</t>
        </is>
      </c>
    </row>
    <row r="5" ht="32" customHeight="1">
      <c r="A5" s="4" t="inlineStr">
        <is>
          <t>Cada día</t>
        </is>
      </c>
      <c r="B5" s="5" t="inlineStr">
        <is>
          <t>Marca el Estado (Pendiente, En curso, Hecho, Movido, Cancelado) y la Fecha real cuando la termines. No borres filas.</t>
        </is>
      </c>
    </row>
    <row r="6" ht="32" customHeight="1">
      <c r="A6" s="4" t="inlineStr">
        <is>
          <t>Si una tarea se mueve</t>
        </is>
      </c>
      <c r="B6" s="5" t="inlineStr">
        <is>
          <t>Estado = Movido, escribe la fecha nueva en Notas y copia la fila al día nuevo. La original queda como registro.</t>
        </is>
      </c>
    </row>
    <row r="7" ht="32" customHeight="1">
      <c r="A7" s="4" t="inlineStr">
        <is>
          <t>Colores</t>
        </is>
      </c>
      <c r="B7" s="5" t="inlineStr">
        <is>
          <t>Verde = hecho · Amarillo = movido · Rojo = atrasado (pasó el día y no está hecho) · Gris tachado = cancelado.</t>
        </is>
      </c>
    </row>
    <row r="8" ht="32" customHeight="1">
      <c r="A8" s="4" t="inlineStr">
        <is>
          <t>Días de retraso</t>
        </is>
      </c>
      <c r="B8" s="5" t="inlineStr">
        <is>
          <t>Se calcula solo: fecha real − día planificado; si no hay fecha real y ya pasó el día, cuenta hasta hoy.</t>
        </is>
      </c>
    </row>
    <row r="9" ht="32" customHeight="1">
      <c r="A9" s="4" t="inlineStr">
        <is>
          <t>Resumen</t>
        </is>
      </c>
      <c r="B9" s="5" t="inlineStr">
        <is>
          <t>Avance por sprint y por persona, horas planificadas y tareas atrasadas, con gráfico. Se calcula solo.</t>
        </is>
      </c>
    </row>
    <row r="10" ht="32" customHeight="1">
      <c r="A10" s="4" t="inlineStr">
        <is>
          <t>Carga</t>
        </is>
      </c>
      <c r="B10" s="5" t="inlineStr">
        <is>
          <t>Horas y tareas por persona y día. Rojo si pasa de 2 h entre semana, 4 h el fin de semana o 4 tareas.</t>
        </is>
      </c>
    </row>
    <row r="11" ht="32" customHeight="1">
      <c r="A11" s="4" t="inlineStr">
        <is>
          <t>Domingo en la noche</t>
        </is>
      </c>
      <c r="B11" s="5" t="inlineStr">
        <is>
          <t>Revisión del sprint (qué hicimos, qué no, qué aprendimos) + 20 minutos de «explícame lo tuyo» + planificación del sprint siguiente. Lo que se decida se anota en 11_Planificacion/Bitacora_Semanal.md.</t>
        </is>
      </c>
    </row>
    <row r="12" ht="32" customHeight="1">
      <c r="A12" s="4" t="inlineStr">
        <is>
          <t>Entregable (issue)</t>
        </is>
      </c>
      <c r="B12" s="5" t="inlineStr">
        <is>
          <t>Cada tarea pertenece a un entregable que tiene su ficha en GitHub (issue). Ejemplo: «S1-07 (#7)» = entregable 7 del sprint 1, ficha #7 en github.com/l333x/Tesis_Torvesa/issues/7.</t>
        </is>
      </c>
    </row>
    <row r="13" ht="32" customHeight="1">
      <c r="A13" s="4" t="inlineStr">
        <is>
          <t>Códigos</t>
        </is>
      </c>
      <c r="B13" s="5" t="inlineStr">
        <is>
          <t>M1–M6 = metas de validación · A1–A47 = afirmaciones que necesitan fuente · LOPDP = ley de datos personales · BPMN = forma estándar de dibujar procesos. Todo está en Glosario.pdf (raíz del repo).</t>
        </is>
      </c>
    </row>
    <row r="14" ht="32" customHeight="1">
      <c r="A14" s="4" t="inlineStr">
        <is>
          <t>Escenario A</t>
        </is>
      </c>
      <c r="B14" s="5" t="inlineStr">
        <is>
          <t>Si la tutora confirma el 15-dic como fecha obligatoria, se comprime diciembre y se eliminan primero las tareas marcadas con ✂.</t>
        </is>
      </c>
    </row>
    <row r="15" ht="32" customHeight="1">
      <c r="A15" s="4" t="inlineStr">
        <is>
          <t>Versión para la IA</t>
        </is>
      </c>
      <c r="B15" s="5" t="inlineStr">
        <is>
          <t>11_Planificacion/CRONOGRAMA.md se regenera desde este Excel (comando: python 99_Scripts/gestion/generar_cronograma.py --md).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1" customWidth="1" min="10" max="10"/>
  </cols>
  <sheetData>
    <row r="1" ht="26" customHeight="1">
      <c r="A1" s="1" t="inlineStr">
        <is>
          <t>Resumen del avance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Se calcula solo desde las hojas de cada sprint. No escribas aquí.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/>
    <row r="4">
      <c r="A4" s="6" t="inlineStr">
        <is>
          <t>Sprint</t>
        </is>
      </c>
      <c r="B4" s="6" t="inlineStr">
        <is>
          <t>Fechas y objetivo</t>
        </is>
      </c>
      <c r="C4" s="6" t="inlineStr">
        <is>
          <t>Tareas</t>
        </is>
      </c>
      <c r="D4" s="6" t="inlineStr">
        <is>
          <t>Hechas</t>
        </is>
      </c>
      <c r="E4" s="6" t="inlineStr">
        <is>
          <t>% avance</t>
        </is>
      </c>
      <c r="F4" s="6" t="inlineStr">
        <is>
          <t>% Víctor</t>
        </is>
      </c>
      <c r="G4" s="6" t="inlineStr">
        <is>
          <t>% Diego</t>
        </is>
      </c>
      <c r="H4" s="6" t="inlineStr">
        <is>
          <t>Horas Víctor</t>
        </is>
      </c>
      <c r="I4" s="6" t="inlineStr">
        <is>
          <t>Horas Diego</t>
        </is>
      </c>
      <c r="J4" s="6" t="inlineStr">
        <is>
          <t>Atrasadas</t>
        </is>
      </c>
    </row>
    <row r="5">
      <c r="A5" s="7" t="inlineStr">
        <is>
          <t>S1</t>
        </is>
      </c>
      <c r="B5" s="7" t="inlineStr">
        <is>
          <t>Sprint 1 · 12–18 oct · Recopilar información</t>
        </is>
      </c>
      <c r="C5" s="7">
        <f>COUNTA('S1'!D6:D32)-COUNTIF('S1'!K6:K32,"Cancelado")</f>
        <v/>
      </c>
      <c r="D5" s="7">
        <f>COUNTIF('S1'!K6:K32,"Hecho")</f>
        <v/>
      </c>
      <c r="E5" s="8">
        <f>IFERROR(D5/C5,0)</f>
        <v/>
      </c>
      <c r="F5" s="8">
        <f>IFERROR((COUNTIFS('S1'!E6:E32,"Víctor",'S1'!K6:K32,"Hecho")+COUNTIFS('S1'!E6:E32,"Ambos",'S1'!K6:K32,"Hecho"))/(COUNTIF('S1'!E6:E32,"Víctor")+COUNTIF('S1'!E6:E32,"Ambos")),0)</f>
        <v/>
      </c>
      <c r="G5" s="8">
        <f>IFERROR((COUNTIFS('S1'!E6:E32,"Diego",'S1'!K6:K32,"Hecho")+COUNTIFS('S1'!E6:E32,"Ambos",'S1'!K6:K32,"Hecho"))/(COUNTIF('S1'!E6:E32,"Diego")+COUNTIF('S1'!E6:E32,"Ambos")),0)</f>
        <v/>
      </c>
      <c r="H5" s="7">
        <f>SUMIF('S1'!E6:E32,"Víctor",'S1'!I6:I32)+SUMIF('S1'!E6:E32,"Ambos",'S1'!I6:I32)</f>
        <v/>
      </c>
      <c r="I5" s="7">
        <f>SUMIF('S1'!E6:E32,"Diego",'S1'!I6:I32)+SUMIF('S1'!E6:E32,"Ambos",'S1'!I6:I32)</f>
        <v/>
      </c>
      <c r="J5" s="7">
        <f>COUNTIF('S1'!L6:L32,"&gt;0")</f>
        <v/>
      </c>
    </row>
    <row r="6">
      <c r="A6" s="7" t="inlineStr">
        <is>
          <t>S2</t>
        </is>
      </c>
      <c r="B6" s="7" t="inlineStr">
        <is>
          <t>Sprint 2 · 19–25 oct · Redactar capítulos</t>
        </is>
      </c>
      <c r="C6" s="7">
        <f>COUNTA('S2'!D6:D23)-COUNTIF('S2'!K6:K23,"Cancelado")</f>
        <v/>
      </c>
      <c r="D6" s="7">
        <f>COUNTIF('S2'!K6:K23,"Hecho")</f>
        <v/>
      </c>
      <c r="E6" s="8">
        <f>IFERROR(D6/C6,0)</f>
        <v/>
      </c>
      <c r="F6" s="8">
        <f>IFERROR((COUNTIFS('S2'!E6:E23,"Víctor",'S2'!K6:K23,"Hecho")+COUNTIFS('S2'!E6:E23,"Ambos",'S2'!K6:K23,"Hecho"))/(COUNTIF('S2'!E6:E23,"Víctor")+COUNTIF('S2'!E6:E23,"Ambos")),0)</f>
        <v/>
      </c>
      <c r="G6" s="8">
        <f>IFERROR((COUNTIFS('S2'!E6:E23,"Diego",'S2'!K6:K23,"Hecho")+COUNTIFS('S2'!E6:E23,"Ambos",'S2'!K6:K23,"Hecho"))/(COUNTIF('S2'!E6:E23,"Diego")+COUNTIF('S2'!E6:E23,"Ambos")),0)</f>
        <v/>
      </c>
      <c r="H6" s="7">
        <f>SUMIF('S2'!E6:E23,"Víctor",'S2'!I6:I23)+SUMIF('S2'!E6:E23,"Ambos",'S2'!I6:I23)</f>
        <v/>
      </c>
      <c r="I6" s="7">
        <f>SUMIF('S2'!E6:E23,"Diego",'S2'!I6:I23)+SUMIF('S2'!E6:E23,"Ambos",'S2'!I6:I23)</f>
        <v/>
      </c>
      <c r="J6" s="7">
        <f>COUNTIF('S2'!L6:L23,"&gt;0")</f>
        <v/>
      </c>
    </row>
    <row r="7">
      <c r="A7" s="7" t="inlineStr">
        <is>
          <t>S3</t>
        </is>
      </c>
      <c r="B7" s="7" t="inlineStr">
        <is>
          <t>Sprint 3 · 26 oct–1 nov · Revisión 1 con la tutora</t>
        </is>
      </c>
      <c r="C7" s="7">
        <f>COUNTA('S3'!D6:D24)-COUNTIF('S3'!K6:K24,"Cancelado")</f>
        <v/>
      </c>
      <c r="D7" s="7">
        <f>COUNTIF('S3'!K6:K24,"Hecho")</f>
        <v/>
      </c>
      <c r="E7" s="8">
        <f>IFERROR(D7/C7,0)</f>
        <v/>
      </c>
      <c r="F7" s="8">
        <f>IFERROR((COUNTIFS('S3'!E6:E24,"Víctor",'S3'!K6:K24,"Hecho")+COUNTIFS('S3'!E6:E24,"Ambos",'S3'!K6:K24,"Hecho"))/(COUNTIF('S3'!E6:E24,"Víctor")+COUNTIF('S3'!E6:E24,"Ambos")),0)</f>
        <v/>
      </c>
      <c r="G7" s="8">
        <f>IFERROR((COUNTIFS('S3'!E6:E24,"Diego",'S3'!K6:K24,"Hecho")+COUNTIFS('S3'!E6:E24,"Ambos",'S3'!K6:K24,"Hecho"))/(COUNTIF('S3'!E6:E24,"Diego")+COUNTIF('S3'!E6:E24,"Ambos")),0)</f>
        <v/>
      </c>
      <c r="H7" s="7">
        <f>SUMIF('S3'!E6:E24,"Víctor",'S3'!I6:I24)+SUMIF('S3'!E6:E24,"Ambos",'S3'!I6:I24)</f>
        <v/>
      </c>
      <c r="I7" s="7">
        <f>SUMIF('S3'!E6:E24,"Diego",'S3'!I6:I24)+SUMIF('S3'!E6:E24,"Ambos",'S3'!I6:I24)</f>
        <v/>
      </c>
      <c r="J7" s="7">
        <f>COUNTIF('S3'!L6:L24,"&gt;0")</f>
        <v/>
      </c>
    </row>
    <row r="8">
      <c r="A8" s="7" t="inlineStr">
        <is>
          <t>S4</t>
        </is>
      </c>
      <c r="B8" s="7" t="inlineStr">
        <is>
          <t>Sprint 4 · 2–8 nov · Diseñar el sistema</t>
        </is>
      </c>
      <c r="C8" s="7">
        <f>COUNTA('S4'!D6:D22)-COUNTIF('S4'!K6:K22,"Cancelado")</f>
        <v/>
      </c>
      <c r="D8" s="7">
        <f>COUNTIF('S4'!K6:K22,"Hecho")</f>
        <v/>
      </c>
      <c r="E8" s="8">
        <f>IFERROR(D8/C8,0)</f>
        <v/>
      </c>
      <c r="F8" s="8">
        <f>IFERROR((COUNTIFS('S4'!E6:E22,"Víctor",'S4'!K6:K22,"Hecho")+COUNTIFS('S4'!E6:E22,"Ambos",'S4'!K6:K22,"Hecho"))/(COUNTIF('S4'!E6:E22,"Víctor")+COUNTIF('S4'!E6:E22,"Ambos")),0)</f>
        <v/>
      </c>
      <c r="G8" s="8">
        <f>IFERROR((COUNTIFS('S4'!E6:E22,"Diego",'S4'!K6:K22,"Hecho")+COUNTIFS('S4'!E6:E22,"Ambos",'S4'!K6:K22,"Hecho"))/(COUNTIF('S4'!E6:E22,"Diego")+COUNTIF('S4'!E6:E22,"Ambos")),0)</f>
        <v/>
      </c>
      <c r="H8" s="7">
        <f>SUMIF('S4'!E6:E22,"Víctor",'S4'!I6:I22)+SUMIF('S4'!E6:E22,"Ambos",'S4'!I6:I22)</f>
        <v/>
      </c>
      <c r="I8" s="7">
        <f>SUMIF('S4'!E6:E22,"Diego",'S4'!I6:I22)+SUMIF('S4'!E6:E22,"Ambos",'S4'!I6:I22)</f>
        <v/>
      </c>
      <c r="J8" s="7">
        <f>COUNTIF('S4'!L6:L22,"&gt;0")</f>
        <v/>
      </c>
    </row>
    <row r="9">
      <c r="A9" s="7" t="inlineStr">
        <is>
          <t>S5</t>
        </is>
      </c>
      <c r="B9" s="7" t="inlineStr">
        <is>
          <t>Sprint 5 · 9–15 nov · Prueba de concepto y finanzas</t>
        </is>
      </c>
      <c r="C9" s="7">
        <f>COUNTA('S5'!D6:D20)-COUNTIF('S5'!K6:K20,"Cancelado")</f>
        <v/>
      </c>
      <c r="D9" s="7">
        <f>COUNTIF('S5'!K6:K20,"Hecho")</f>
        <v/>
      </c>
      <c r="E9" s="8">
        <f>IFERROR(D9/C9,0)</f>
        <v/>
      </c>
      <c r="F9" s="8">
        <f>IFERROR((COUNTIFS('S5'!E6:E20,"Víctor",'S5'!K6:K20,"Hecho")+COUNTIFS('S5'!E6:E20,"Ambos",'S5'!K6:K20,"Hecho"))/(COUNTIF('S5'!E6:E20,"Víctor")+COUNTIF('S5'!E6:E20,"Ambos")),0)</f>
        <v/>
      </c>
      <c r="G9" s="8">
        <f>IFERROR((COUNTIFS('S5'!E6:E20,"Diego",'S5'!K6:K20,"Hecho")+COUNTIFS('S5'!E6:E20,"Ambos",'S5'!K6:K20,"Hecho"))/(COUNTIF('S5'!E6:E20,"Diego")+COUNTIF('S5'!E6:E20,"Ambos")),0)</f>
        <v/>
      </c>
      <c r="H9" s="7">
        <f>SUMIF('S5'!E6:E20,"Víctor",'S5'!I6:I20)+SUMIF('S5'!E6:E20,"Ambos",'S5'!I6:I20)</f>
        <v/>
      </c>
      <c r="I9" s="7">
        <f>SUMIF('S5'!E6:E20,"Diego",'S5'!I6:I20)+SUMIF('S5'!E6:E20,"Ambos",'S5'!I6:I20)</f>
        <v/>
      </c>
      <c r="J9" s="7">
        <f>COUNTIF('S5'!L6:L20,"&gt;0")</f>
        <v/>
      </c>
    </row>
    <row r="10">
      <c r="A10" s="7" t="inlineStr">
        <is>
          <t>S6</t>
        </is>
      </c>
      <c r="B10" s="7" t="inlineStr">
        <is>
          <t>Sprint 6 · 16–22 nov · Revisión 2 con la tutora</t>
        </is>
      </c>
      <c r="C10" s="7">
        <f>COUNTA('S6'!D6:D17)-COUNTIF('S6'!K6:K17,"Cancelado")</f>
        <v/>
      </c>
      <c r="D10" s="7">
        <f>COUNTIF('S6'!K6:K17,"Hecho")</f>
        <v/>
      </c>
      <c r="E10" s="8">
        <f>IFERROR(D10/C10,0)</f>
        <v/>
      </c>
      <c r="F10" s="8">
        <f>IFERROR((COUNTIFS('S6'!E6:E17,"Víctor",'S6'!K6:K17,"Hecho")+COUNTIFS('S6'!E6:E17,"Ambos",'S6'!K6:K17,"Hecho"))/(COUNTIF('S6'!E6:E17,"Víctor")+COUNTIF('S6'!E6:E17,"Ambos")),0)</f>
        <v/>
      </c>
      <c r="G10" s="8">
        <f>IFERROR((COUNTIFS('S6'!E6:E17,"Diego",'S6'!K6:K17,"Hecho")+COUNTIFS('S6'!E6:E17,"Ambos",'S6'!K6:K17,"Hecho"))/(COUNTIF('S6'!E6:E17,"Diego")+COUNTIF('S6'!E6:E17,"Ambos")),0)</f>
        <v/>
      </c>
      <c r="H10" s="7">
        <f>SUMIF('S6'!E6:E17,"Víctor",'S6'!I6:I17)+SUMIF('S6'!E6:E17,"Ambos",'S6'!I6:I17)</f>
        <v/>
      </c>
      <c r="I10" s="7">
        <f>SUMIF('S6'!E6:E17,"Diego",'S6'!I6:I17)+SUMIF('S6'!E6:E17,"Ambos",'S6'!I6:I17)</f>
        <v/>
      </c>
      <c r="J10" s="7">
        <f>COUNTIF('S6'!L6:L17,"&gt;0")</f>
        <v/>
      </c>
    </row>
    <row r="11">
      <c r="A11" s="7" t="inlineStr">
        <is>
          <t>S7</t>
        </is>
      </c>
      <c r="B11" s="7" t="inlineStr">
        <is>
          <t>Sprint 7 · 23–29 nov · Arranca la validación</t>
        </is>
      </c>
      <c r="C11" s="7">
        <f>COUNTA('S7'!D6:D19)-COUNTIF('S7'!K6:K19,"Cancelado")</f>
        <v/>
      </c>
      <c r="D11" s="7">
        <f>COUNTIF('S7'!K6:K19,"Hecho")</f>
        <v/>
      </c>
      <c r="E11" s="8">
        <f>IFERROR(D11/C11,0)</f>
        <v/>
      </c>
      <c r="F11" s="8">
        <f>IFERROR((COUNTIFS('S7'!E6:E19,"Víctor",'S7'!K6:K19,"Hecho")+COUNTIFS('S7'!E6:E19,"Ambos",'S7'!K6:K19,"Hecho"))/(COUNTIF('S7'!E6:E19,"Víctor")+COUNTIF('S7'!E6:E19,"Ambos")),0)</f>
        <v/>
      </c>
      <c r="G11" s="8">
        <f>IFERROR((COUNTIFS('S7'!E6:E19,"Diego",'S7'!K6:K19,"Hecho")+COUNTIFS('S7'!E6:E19,"Ambos",'S7'!K6:K19,"Hecho"))/(COUNTIF('S7'!E6:E19,"Diego")+COUNTIF('S7'!E6:E19,"Ambos")),0)</f>
        <v/>
      </c>
      <c r="H11" s="7">
        <f>SUMIF('S7'!E6:E19,"Víctor",'S7'!I6:I19)+SUMIF('S7'!E6:E19,"Ambos",'S7'!I6:I19)</f>
        <v/>
      </c>
      <c r="I11" s="7">
        <f>SUMIF('S7'!E6:E19,"Diego",'S7'!I6:I19)+SUMIF('S7'!E6:E19,"Ambos",'S7'!I6:I19)</f>
        <v/>
      </c>
      <c r="J11" s="7">
        <f>COUNTIF('S7'!L6:L19,"&gt;0")</f>
        <v/>
      </c>
    </row>
    <row r="12">
      <c r="A12" s="7" t="inlineStr">
        <is>
          <t>S8</t>
        </is>
      </c>
      <c r="B12" s="7" t="inlineStr">
        <is>
          <t>Sprint 8 · 30 nov–6 dic · Documentar el sistema</t>
        </is>
      </c>
      <c r="C12" s="7">
        <f>COUNTA('S8'!D6:D23)-COUNTIF('S8'!K6:K23,"Cancelado")</f>
        <v/>
      </c>
      <c r="D12" s="7">
        <f>COUNTIF('S8'!K6:K23,"Hecho")</f>
        <v/>
      </c>
      <c r="E12" s="8">
        <f>IFERROR(D12/C12,0)</f>
        <v/>
      </c>
      <c r="F12" s="8">
        <f>IFERROR((COUNTIFS('S8'!E6:E23,"Víctor",'S8'!K6:K23,"Hecho")+COUNTIFS('S8'!E6:E23,"Ambos",'S8'!K6:K23,"Hecho"))/(COUNTIF('S8'!E6:E23,"Víctor")+COUNTIF('S8'!E6:E23,"Ambos")),0)</f>
        <v/>
      </c>
      <c r="G12" s="8">
        <f>IFERROR((COUNTIFS('S8'!E6:E23,"Diego",'S8'!K6:K23,"Hecho")+COUNTIFS('S8'!E6:E23,"Ambos",'S8'!K6:K23,"Hecho"))/(COUNTIF('S8'!E6:E23,"Diego")+COUNTIF('S8'!E6:E23,"Ambos")),0)</f>
        <v/>
      </c>
      <c r="H12" s="7">
        <f>SUMIF('S8'!E6:E23,"Víctor",'S8'!I6:I23)+SUMIF('S8'!E6:E23,"Ambos",'S8'!I6:I23)</f>
        <v/>
      </c>
      <c r="I12" s="7">
        <f>SUMIF('S8'!E6:E23,"Diego",'S8'!I6:I23)+SUMIF('S8'!E6:E23,"Ambos",'S8'!I6:I23)</f>
        <v/>
      </c>
      <c r="J12" s="7">
        <f>COUNTIF('S8'!L6:L23,"&gt;0")</f>
        <v/>
      </c>
    </row>
    <row r="13">
      <c r="A13" s="7" t="inlineStr">
        <is>
          <t>S9</t>
        </is>
      </c>
      <c r="B13" s="7" t="inlineStr">
        <is>
          <t>Sprint 9 · 7–13 dic · Medir el «después» y comparar</t>
        </is>
      </c>
      <c r="C13" s="7">
        <f>COUNTA('S9'!D6:D15)-COUNTIF('S9'!K6:K15,"Cancelado")</f>
        <v/>
      </c>
      <c r="D13" s="7">
        <f>COUNTIF('S9'!K6:K15,"Hecho")</f>
        <v/>
      </c>
      <c r="E13" s="8">
        <f>IFERROR(D13/C13,0)</f>
        <v/>
      </c>
      <c r="F13" s="8">
        <f>IFERROR((COUNTIFS('S9'!E6:E15,"Víctor",'S9'!K6:K15,"Hecho")+COUNTIFS('S9'!E6:E15,"Ambos",'S9'!K6:K15,"Hecho"))/(COUNTIF('S9'!E6:E15,"Víctor")+COUNTIF('S9'!E6:E15,"Ambos")),0)</f>
        <v/>
      </c>
      <c r="G13" s="8">
        <f>IFERROR((COUNTIFS('S9'!E6:E15,"Diego",'S9'!K6:K15,"Hecho")+COUNTIFS('S9'!E6:E15,"Ambos",'S9'!K6:K15,"Hecho"))/(COUNTIF('S9'!E6:E15,"Diego")+COUNTIF('S9'!E6:E15,"Ambos")),0)</f>
        <v/>
      </c>
      <c r="H13" s="7">
        <f>SUMIF('S9'!E6:E15,"Víctor",'S9'!I6:I15)+SUMIF('S9'!E6:E15,"Ambos",'S9'!I6:I15)</f>
        <v/>
      </c>
      <c r="I13" s="7">
        <f>SUMIF('S9'!E6:E15,"Diego",'S9'!I6:I15)+SUMIF('S9'!E6:E15,"Ambos",'S9'!I6:I15)</f>
        <v/>
      </c>
      <c r="J13" s="7">
        <f>COUNTIF('S9'!L6:L15,"&gt;0")</f>
        <v/>
      </c>
    </row>
    <row r="14">
      <c r="A14" s="7" t="inlineStr">
        <is>
          <t>S10</t>
        </is>
      </c>
      <c r="B14" s="7" t="inlineStr">
        <is>
          <t>Sprint 10 · 14–20 dic · Cierre e hito del 90 %</t>
        </is>
      </c>
      <c r="C14" s="7">
        <f>COUNTA('S10'!D6:D13)-COUNTIF('S10'!K6:K13,"Cancelado")</f>
        <v/>
      </c>
      <c r="D14" s="7">
        <f>COUNTIF('S10'!K6:K13,"Hecho")</f>
        <v/>
      </c>
      <c r="E14" s="8">
        <f>IFERROR(D14/C14,0)</f>
        <v/>
      </c>
      <c r="F14" s="8">
        <f>IFERROR((COUNTIFS('S10'!E6:E13,"Víctor",'S10'!K6:K13,"Hecho")+COUNTIFS('S10'!E6:E13,"Ambos",'S10'!K6:K13,"Hecho"))/(COUNTIF('S10'!E6:E13,"Víctor")+COUNTIF('S10'!E6:E13,"Ambos")),0)</f>
        <v/>
      </c>
      <c r="G14" s="8">
        <f>IFERROR((COUNTIFS('S10'!E6:E13,"Diego",'S10'!K6:K13,"Hecho")+COUNTIFS('S10'!E6:E13,"Ambos",'S10'!K6:K13,"Hecho"))/(COUNTIF('S10'!E6:E13,"Diego")+COUNTIF('S10'!E6:E13,"Ambos")),0)</f>
        <v/>
      </c>
      <c r="H14" s="7">
        <f>SUMIF('S10'!E6:E13,"Víctor",'S10'!I6:I13)+SUMIF('S10'!E6:E13,"Ambos",'S10'!I6:I13)</f>
        <v/>
      </c>
      <c r="I14" s="7">
        <f>SUMIF('S10'!E6:E13,"Diego",'S10'!I6:I13)+SUMIF('S10'!E6:E13,"Ambos",'S10'!I6:I13)</f>
        <v/>
      </c>
      <c r="J14" s="7">
        <f>COUNTIF('S10'!L6:L13,"&gt;0")</f>
        <v/>
      </c>
    </row>
    <row r="15">
      <c r="A15" s="7" t="inlineStr">
        <is>
          <t>Holgura</t>
        </is>
      </c>
      <c r="B15" s="7" t="inlineStr">
        <is>
          <t>Holgura · 21 dic–3 ene · Pulir</t>
        </is>
      </c>
      <c r="C15" s="7">
        <f>COUNTA('Holgura'!D6:D11)-COUNTIF('Holgura'!K6:K11,"Cancelado")</f>
        <v/>
      </c>
      <c r="D15" s="7">
        <f>COUNTIF('Holgura'!K6:K11,"Hecho")</f>
        <v/>
      </c>
      <c r="E15" s="8">
        <f>IFERROR(D15/C15,0)</f>
        <v/>
      </c>
      <c r="F15" s="8">
        <f>IFERROR((COUNTIFS('Holgura'!E6:E11,"Víctor",'Holgura'!K6:K11,"Hecho")+COUNTIFS('Holgura'!E6:E11,"Ambos",'Holgura'!K6:K11,"Hecho"))/(COUNTIF('Holgura'!E6:E11,"Víctor")+COUNTIF('Holgura'!E6:E11,"Ambos")),0)</f>
        <v/>
      </c>
      <c r="G15" s="8">
        <f>IFERROR((COUNTIFS('Holgura'!E6:E11,"Diego",'Holgura'!K6:K11,"Hecho")+COUNTIFS('Holgura'!E6:E11,"Ambos",'Holgura'!K6:K11,"Hecho"))/(COUNTIF('Holgura'!E6:E11,"Diego")+COUNTIF('Holgura'!E6:E11,"Ambos")),0)</f>
        <v/>
      </c>
      <c r="H15" s="7">
        <f>SUMIF('Holgura'!E6:E11,"Víctor",'Holgura'!I6:I11)+SUMIF('Holgura'!E6:E11,"Ambos",'Holgura'!I6:I11)</f>
        <v/>
      </c>
      <c r="I15" s="7">
        <f>SUMIF('Holgura'!E6:E11,"Diego",'Holgura'!I6:I11)+SUMIF('Holgura'!E6:E11,"Ambos",'Holgura'!I6:I11)</f>
        <v/>
      </c>
      <c r="J15" s="7">
        <f>COUNTIF('Holgura'!L6:L11,"&gt;0")</f>
        <v/>
      </c>
    </row>
    <row r="16">
      <c r="A16" s="7" t="inlineStr">
        <is>
          <t>Entrega</t>
        </is>
      </c>
      <c r="B16" s="7" t="inlineStr">
        <is>
          <t>Entrega · 4–10 ene · Revisión final y firma</t>
        </is>
      </c>
      <c r="C16" s="7">
        <f>COUNTA('Entrega'!D6:D9)-COUNTIF('Entrega'!K6:K9,"Cancelado")</f>
        <v/>
      </c>
      <c r="D16" s="7">
        <f>COUNTIF('Entrega'!K6:K9,"Hecho")</f>
        <v/>
      </c>
      <c r="E16" s="8">
        <f>IFERROR(D16/C16,0)</f>
        <v/>
      </c>
      <c r="F16" s="8">
        <f>IFERROR((COUNTIFS('Entrega'!E6:E9,"Víctor",'Entrega'!K6:K9,"Hecho")+COUNTIFS('Entrega'!E6:E9,"Ambos",'Entrega'!K6:K9,"Hecho"))/(COUNTIF('Entrega'!E6:E9,"Víctor")+COUNTIF('Entrega'!E6:E9,"Ambos")),0)</f>
        <v/>
      </c>
      <c r="G16" s="8">
        <f>IFERROR((COUNTIFS('Entrega'!E6:E9,"Diego",'Entrega'!K6:K9,"Hecho")+COUNTIFS('Entrega'!E6:E9,"Ambos",'Entrega'!K6:K9,"Hecho"))/(COUNTIF('Entrega'!E6:E9,"Diego")+COUNTIF('Entrega'!E6:E9,"Ambos")),0)</f>
        <v/>
      </c>
      <c r="H16" s="7">
        <f>SUMIF('Entrega'!E6:E9,"Víctor",'Entrega'!I6:I9)+SUMIF('Entrega'!E6:E9,"Ambos",'Entrega'!I6:I9)</f>
        <v/>
      </c>
      <c r="I16" s="7">
        <f>SUMIF('Entrega'!E6:E9,"Diego",'Entrega'!I6:I9)+SUMIF('Entrega'!E6:E9,"Ambos",'Entrega'!I6:I9)</f>
        <v/>
      </c>
      <c r="J16" s="7">
        <f>COUNTIF('Entrega'!L6:L9,"&gt;0")</f>
        <v/>
      </c>
    </row>
    <row r="17">
      <c r="A17" s="7" t="inlineStr">
        <is>
          <t>Defensa</t>
        </is>
      </c>
      <c r="B17" s="7" t="inlineStr">
        <is>
          <t>Defensa · 11 ene–12 feb · Preparar y defender</t>
        </is>
      </c>
      <c r="C17" s="7">
        <f>COUNTA('Defensa'!D6:D10)-COUNTIF('Defensa'!K6:K10,"Cancelado")</f>
        <v/>
      </c>
      <c r="D17" s="7">
        <f>COUNTIF('Defensa'!K6:K10,"Hecho")</f>
        <v/>
      </c>
      <c r="E17" s="8">
        <f>IFERROR(D17/C17,0)</f>
        <v/>
      </c>
      <c r="F17" s="8">
        <f>IFERROR((COUNTIFS('Defensa'!E6:E10,"Víctor",'Defensa'!K6:K10,"Hecho")+COUNTIFS('Defensa'!E6:E10,"Ambos",'Defensa'!K6:K10,"Hecho"))/(COUNTIF('Defensa'!E6:E10,"Víctor")+COUNTIF('Defensa'!E6:E10,"Ambos")),0)</f>
        <v/>
      </c>
      <c r="G17" s="8">
        <f>IFERROR((COUNTIFS('Defensa'!E6:E10,"Diego",'Defensa'!K6:K10,"Hecho")+COUNTIFS('Defensa'!E6:E10,"Ambos",'Defensa'!K6:K10,"Hecho"))/(COUNTIF('Defensa'!E6:E10,"Diego")+COUNTIF('Defensa'!E6:E10,"Ambos")),0)</f>
        <v/>
      </c>
      <c r="H17" s="7">
        <f>SUMIF('Defensa'!E6:E10,"Víctor",'Defensa'!I6:I10)+SUMIF('Defensa'!E6:E10,"Ambos",'Defensa'!I6:I10)</f>
        <v/>
      </c>
      <c r="I17" s="7">
        <f>SUMIF('Defensa'!E6:E10,"Diego",'Defensa'!I6:I10)+SUMIF('Defensa'!E6:E10,"Ambos",'Defensa'!I6:I10)</f>
        <v/>
      </c>
      <c r="J17" s="7">
        <f>COUNTIF('Defensa'!L6:L10,"&gt;0")</f>
        <v/>
      </c>
    </row>
    <row r="18">
      <c r="A18" s="9" t="inlineStr">
        <is>
          <t>TOTAL</t>
        </is>
      </c>
      <c r="C18">
        <f>SUM(C5:C17)</f>
        <v/>
      </c>
      <c r="D18">
        <f>SUM(D5:D17)</f>
        <v/>
      </c>
      <c r="E18" s="10">
        <f>IFERROR(D18/C18,0)</f>
        <v/>
      </c>
      <c r="H18">
        <f>SUM(H5:H17)</f>
        <v/>
      </c>
      <c r="I18">
        <f>SUM(I5:I17)</f>
        <v/>
      </c>
      <c r="J18">
        <f>SUM(J5:J17)</f>
        <v/>
      </c>
    </row>
  </sheetData>
  <conditionalFormatting sqref="E5:G17">
    <cfRule type="dataBar" priority="1">
      <dataBar>
        <cfvo type="num" val="0"/>
        <cfvo type="num" val="1"/>
        <color rgb="00B87333"/>
      </dataBar>
    </cfRule>
  </conditionalFormatting>
  <conditionalFormatting sqref="J5:J17">
    <cfRule type="expression" priority="2" dxfId="0">
      <formula>J5&gt;0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Sprint 1 · 12–18 oct · Recopilar información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Buscar fuentes, hablar con la tutora y con Torvesa, preparar el campo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IFERROR(COUNTIF(K6:K32,"Hecho")/(COUNTA(D6:D32)-COUNTIF(K6:K32,"Cancelado")),0)</f>
        <v/>
      </c>
      <c r="D3" s="13">
        <f>"Víctor: "&amp;TEXT(IFERROR((COUNTIFS(E6:E32,"Víctor",K6:K32,"Hecho")+COUNTIFS(E6:E32,"Ambos",K6:K32,"Hecho"))/(COUNTIF(E6:E32,"Víctor")+COUNTIF(E6:E32,"Ambos")),0),"0%")&amp;"   ·   Diego: "&amp;TEXT(IFERROR((COUNTIFS(E6:E32,"Diego",K6:K32,"Hecho")+COUNTIFS(E6:E32,"Ambos",K6:K32,"Hecho"))/(COUNTIF(E6:E32,"Diego")+COUNTIF(E6:E32,"Ambos")),0),"0%")&amp;"   ·   Horas: "&amp;TEXT(SUM(I6:I32),"0.0")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S1-T01</t>
        </is>
      </c>
      <c r="B6" s="22" t="n">
        <v>46307</v>
      </c>
      <c r="C6" s="23">
        <f>B6</f>
        <v/>
      </c>
      <c r="D6" s="15" t="inlineStr">
        <is>
          <t>Conversar con la tutora sobre los 5 cambios, para tener su aprobación</t>
        </is>
      </c>
      <c r="E6" s="15" t="inlineStr">
        <is>
          <t>Víctor</t>
        </is>
      </c>
      <c r="F6" s="15" t="inlineStr">
        <is>
          <t>UPS Quito, en persona · llevar 08_Reuniones_Tutora/2026-10-12_Puntos_Tutora.pdf</t>
        </is>
      </c>
      <c r="G6" s="15" t="inlineStr">
        <is>
          <t>Respuestas de la tutora anotadas</t>
        </is>
      </c>
      <c r="H6" s="15" t="inlineStr">
        <is>
          <t>Las 5 preguntas tienen respuesta (sí / no / pendiente)</t>
        </is>
      </c>
      <c r="I6" s="24" t="n">
        <v>1</v>
      </c>
      <c r="J6" s="22" t="n">
        <v>46307</v>
      </c>
      <c r="K6" s="15" t="inlineStr">
        <is>
          <t>Hecho</t>
        </is>
      </c>
      <c r="L6" s="15">
        <f>IF(K6="Cancelado","",IF(J6&lt;&gt;"",J6-B6,IF(AND(K6&lt;&gt;"Hecho",TODAY()&gt;B6),TODAY()-B6,0)))</f>
        <v/>
      </c>
      <c r="M6" s="15" t="inlineStr">
        <is>
          <t>S1-07 (#7)</t>
        </is>
      </c>
      <c r="N6" s="15" t="inlineStr">
        <is>
          <t>Víctor conversó con la tutora: sin objeciones a los 5 puntos (lo dijo Víctor el 18-oct). Falta confirmar la fecha de entrega (D5)</t>
        </is>
      </c>
    </row>
    <row r="7">
      <c r="A7" s="15" t="inlineStr">
        <is>
          <t>S1-T02</t>
        </is>
      </c>
      <c r="B7" s="22" t="n">
        <v>46307</v>
      </c>
      <c r="C7" s="23">
        <f>B7</f>
        <v/>
      </c>
      <c r="D7" s="15" t="inlineStr">
        <is>
          <t>Escribir el acta de la conversación, para que quede por escrito lo que decidió</t>
        </is>
      </c>
      <c r="E7" s="15" t="inlineStr">
        <is>
          <t>Víctor</t>
        </is>
      </c>
      <c r="F7" s="15" t="inlineStr">
        <is>
          <t>08_Reuniones_Tutora/</t>
        </is>
      </c>
      <c r="G7" s="15" t="inlineStr">
        <is>
          <t>08_Reuniones_Tutora/2026-10-12_Acta_Conversacion.md</t>
        </is>
      </c>
      <c r="H7" s="15" t="inlineStr">
        <is>
          <t>Acta con decisiones y fechas</t>
        </is>
      </c>
      <c r="I7" s="24" t="n">
        <v>0.5</v>
      </c>
      <c r="J7" s="22" t="n"/>
      <c r="K7" s="15" t="inlineStr">
        <is>
          <t>Movido</t>
        </is>
      </c>
      <c r="L7" s="15">
        <f>IF(K7="Cancelado","",IF(J7&lt;&gt;"",J7-B7,IF(AND(K7&lt;&gt;"Hecho",TODAY()&gt;B7),TODAY()-B7,0)))</f>
        <v/>
      </c>
      <c r="M7" s="15" t="inlineStr">
        <is>
          <t>S1-07 (#7)</t>
        </is>
      </c>
      <c r="N7" s="15" t="inlineStr">
        <is>
          <t>Víctor decidió hacer el acta más adelante (18-oct)</t>
        </is>
      </c>
    </row>
    <row r="8">
      <c r="A8" s="15" t="inlineStr">
        <is>
          <t>S1-T03</t>
        </is>
      </c>
      <c r="B8" s="22" t="n">
        <v>46307</v>
      </c>
      <c r="C8" s="23">
        <f>B8</f>
        <v/>
      </c>
      <c r="D8" s="15" t="inlineStr">
        <is>
          <t>Enviar el correo a Torvesa (giro, nota de respaldo, catálogo, permisos), para trabajar con datos oficiales</t>
        </is>
      </c>
      <c r="E8" s="15" t="inlineStr">
        <is>
          <t>Víctor</t>
        </is>
      </c>
      <c r="F8" s="15" t="inlineStr">
        <is>
          <t>Correo electrónico · borrador en 11_Planificacion/2026-10-12_Correo_Torvesa_borrador.docx</t>
        </is>
      </c>
      <c r="G8" s="15" t="inlineStr">
        <is>
          <t>Correo enviado con el catálogo adjunto</t>
        </is>
      </c>
      <c r="H8" s="15" t="inlineStr">
        <is>
          <t>Copia del correo enviado</t>
        </is>
      </c>
      <c r="I8" s="24" t="n">
        <v>0.5</v>
      </c>
      <c r="J8" s="22" t="n"/>
      <c r="K8" s="15" t="inlineStr">
        <is>
          <t>Movido</t>
        </is>
      </c>
      <c r="L8" s="15">
        <f>IF(K8="Cancelado","",IF(J8&lt;&gt;"",J8-B8,IF(AND(K8&lt;&gt;"Hecho",TODAY()&gt;B8),TODAY()-B8,0)))</f>
        <v/>
      </c>
      <c r="M8" s="15" t="inlineStr">
        <is>
          <t>S1-05 (#5)</t>
        </is>
      </c>
      <c r="N8" s="15" t="inlineStr">
        <is>
          <t>Diego se encarga de conseguir la información de Torvesa (decisión de Víctor, 18-oct)</t>
        </is>
      </c>
    </row>
    <row r="9">
      <c r="A9" s="15" t="inlineStr">
        <is>
          <t>S1-T04</t>
        </is>
      </c>
      <c r="B9" s="22" t="n">
        <v>46307</v>
      </c>
      <c r="C9" s="23">
        <f>B9</f>
        <v/>
      </c>
      <c r="D9" s="15" t="inlineStr">
        <is>
          <t>Aceptar la invitación de GitHub y clonar el repo, para trabajar en la bóveda compartida</t>
        </is>
      </c>
      <c r="E9" s="15" t="inlineStr">
        <is>
          <t>Diego</t>
        </is>
      </c>
      <c r="F9" s="15" t="inlineStr">
        <is>
          <t>PC de Diego · pasos en GUIA_DIEGO.pdf (raíz)</t>
        </is>
      </c>
      <c r="G9" s="15" t="inlineStr">
        <is>
          <t>Repo clonado + 00_Inbox/hola_diego.md</t>
        </is>
      </c>
      <c r="H9" s="15" t="inlineStr">
        <is>
          <t>El commit de prueba aparece en GitHub</t>
        </is>
      </c>
      <c r="I9" s="24" t="n">
        <v>1</v>
      </c>
      <c r="J9" s="22" t="n">
        <v>46314</v>
      </c>
      <c r="K9" s="15" t="inlineStr">
        <is>
          <t>Hecho</t>
        </is>
      </c>
      <c r="L9" s="15">
        <f>IF(K9="Cancelado","",IF(J9&lt;&gt;"",J9-B9,IF(AND(K9&lt;&gt;"Hecho",TODAY()&gt;B9),TODAY()-B9,0)))</f>
        <v/>
      </c>
      <c r="M9" s="15" t="inlineStr">
        <is>
          <t>S1-10 (#10)</t>
        </is>
      </c>
      <c r="N9" s="15" t="inlineStr">
        <is>
          <t>Diego acepta la invitación el 18-oct (vencía ese día) · 19-oct: repo clonado y commit de prueba (00_Inbox/hola_diego.md)</t>
        </is>
      </c>
    </row>
    <row r="10">
      <c r="A10" s="15" t="inlineStr">
        <is>
          <t>S1-T05</t>
        </is>
      </c>
      <c r="B10" s="22" t="n">
        <v>46307</v>
      </c>
      <c r="C10" s="23">
        <f>B10</f>
        <v/>
      </c>
      <c r="D10" s="15" t="inlineStr">
        <is>
          <t>Levantar el buscador RAG en su PC, para consultar la bóveda</t>
        </is>
      </c>
      <c r="E10" s="15" t="inlineStr">
        <is>
          <t>Diego</t>
        </is>
      </c>
      <c r="F10" s="15" t="inlineStr">
        <is>
          <t>PC de Diego · pasos en RAG_README.md (raíz)</t>
        </is>
      </c>
      <c r="G10" s="15" t="inlineStr">
        <is>
          <t>Consulta de prueba con resultados</t>
        </is>
      </c>
      <c r="H10" s="15" t="inlineStr">
        <is>
          <t>rag.py consultar devuelve fragmentos</t>
        </is>
      </c>
      <c r="I10" s="24" t="n">
        <v>1</v>
      </c>
      <c r="J10" s="22" t="n">
        <v>46314</v>
      </c>
      <c r="K10" s="15" t="inlineStr">
        <is>
          <t>Hecho</t>
        </is>
      </c>
      <c r="L10" s="15">
        <f>IF(K10="Cancelado","",IF(J10&lt;&gt;"",J10-B10,IF(AND(K10&lt;&gt;"Hecho",TODAY()&gt;B10),TODAY()-B10,0)))</f>
        <v/>
      </c>
      <c r="M10" s="15" t="inlineStr">
        <is>
          <t>S1-10 (#10)</t>
        </is>
      </c>
      <c r="N10" s="15" t="inlineStr">
        <is>
          <t>Movido a la semana 19–24 oct (bloques dobles de Diego en IA_DIEGO.md) · 19-oct: RAG funcionando en la PC de Diego (586 notas indexadas)</t>
        </is>
      </c>
    </row>
    <row r="11">
      <c r="A11" s="15" t="inlineStr">
        <is>
          <t>S1-T06</t>
        </is>
      </c>
      <c r="B11" s="22" t="n">
        <v>46308</v>
      </c>
      <c r="C11" s="23">
        <f>B11</f>
        <v/>
      </c>
      <c r="D11" s="15" t="inlineStr">
        <is>
          <t>Buscar y verificar fuentes sobre el tiempo de respuesta a clientes (Oldroyd y estudios 2023+), para respaldar el problema (A9, A10)</t>
        </is>
      </c>
      <c r="E11" s="15" t="inlineStr">
        <is>
          <t>Víctor</t>
        </is>
      </c>
      <c r="F11" s="15" t="inlineStr">
        <is>
          <t>02_Fuentes/Problema/ · con 99_Scripts/busqueda/</t>
        </is>
      </c>
      <c r="G11" s="15" t="inlineStr">
        <is>
          <t>≥5 fichas, ≥2 verificadas con página</t>
        </is>
      </c>
      <c r="H11" s="15" t="inlineStr">
        <is>
          <t>Cada ficha con estado y página</t>
        </is>
      </c>
      <c r="I11" s="24" t="n">
        <v>1</v>
      </c>
      <c r="J11" s="22" t="n"/>
      <c r="K11" s="15" t="inlineStr">
        <is>
          <t>En curso</t>
        </is>
      </c>
      <c r="L11" s="15">
        <f>IF(K11="Cancelado","",IF(J11&lt;&gt;"",J11-B11,IF(AND(K11&lt;&gt;"Hecho",TODAY()&gt;B11),TODAY()-B11,0)))</f>
        <v/>
      </c>
      <c r="M11" s="15" t="inlineStr">
        <is>
          <t>S1-01 (#1)</t>
        </is>
      </c>
      <c r="N11" s="15" t="inlineStr">
        <is>
          <t>A9 parcial (falta el PDF de Oldroyd); A10 hay que reformularla como decisión de diseño. Ver la matriz del 18-oct</t>
        </is>
      </c>
    </row>
    <row r="12">
      <c r="A12" s="15" t="inlineStr">
        <is>
          <t>S1-T07</t>
        </is>
      </c>
      <c r="B12" s="22" t="n">
        <v>46308</v>
      </c>
      <c r="C12" s="23">
        <f>B12</f>
        <v/>
      </c>
      <c r="D12" s="15" t="inlineStr">
        <is>
          <t>Buscar fuentes sobre la digitalización de la construcción, para respaldar el contexto (A5, A6)</t>
        </is>
      </c>
      <c r="E12" s="15" t="inlineStr">
        <is>
          <t>Víctor</t>
        </is>
      </c>
      <c r="F12" s="15" t="inlineStr">
        <is>
          <t>02_Fuentes/Problema/</t>
        </is>
      </c>
      <c r="G12" s="15" t="inlineStr">
        <is>
          <t>≥4 fichas</t>
        </is>
      </c>
      <c r="H12" s="15" t="inlineStr">
        <is>
          <t>Cada ficha con estado</t>
        </is>
      </c>
      <c r="I12" s="24" t="n">
        <v>1</v>
      </c>
      <c r="J12" s="22" t="n">
        <v>46307</v>
      </c>
      <c r="K12" s="15" t="inlineStr">
        <is>
          <t>Hecho</t>
        </is>
      </c>
      <c r="L12" s="15">
        <f>IF(K12="Cancelado","",IF(J12&lt;&gt;"",J12-B12,IF(AND(K12&lt;&gt;"Hecho",TODAY()&gt;B12),TODAY()-B12,0)))</f>
        <v/>
      </c>
      <c r="M12" s="15" t="inlineStr">
        <is>
          <t>S1-01 (#1)</t>
        </is>
      </c>
      <c r="N12" s="15" t="inlineStr">
        <is>
          <t>A5 y A6 respaldadas (Manyika 2015, Cathles 2023, Samuelson 2023, McKinsey 2023). Nyqvist 2024 opcional</t>
        </is>
      </c>
    </row>
    <row r="13">
      <c r="A13" s="15" t="inlineStr">
        <is>
          <t>S1-T08</t>
        </is>
      </c>
      <c r="B13" s="22" t="n">
        <v>46308</v>
      </c>
      <c r="C13" s="23">
        <f>B13</f>
        <v/>
      </c>
      <c r="D13" s="15" t="inlineStr">
        <is>
          <t>Investigar cómo consolidar bóvedas de conocimiento, para diseñar la bóveda del sistema</t>
        </is>
      </c>
      <c r="E13" s="15" t="inlineStr">
        <is>
          <t>Diego</t>
        </is>
      </c>
      <c r="F13" s="15" t="inlineStr">
        <is>
          <t>02_Fuentes/Tecnologia_IA/ · con 99_Scripts/busqueda/</t>
        </is>
      </c>
      <c r="G13" s="15" t="inlineStr">
        <is>
          <t>≥5 fichas</t>
        </is>
      </c>
      <c r="H13" s="15" t="inlineStr">
        <is>
          <t>Cada ficha dice qué respalda</t>
        </is>
      </c>
      <c r="I13" s="24" t="n">
        <v>1.5</v>
      </c>
      <c r="J13" s="22" t="n">
        <v>46316</v>
      </c>
      <c r="K13" s="15" t="inlineStr">
        <is>
          <t>Hecho</t>
        </is>
      </c>
      <c r="L13" s="15">
        <f>IF(K13="Cancelado","",IF(J13&lt;&gt;"",J13-B13,IF(AND(K13&lt;&gt;"Hecho",TODAY()&gt;B13),TODAY()-B13,0)))</f>
        <v/>
      </c>
      <c r="M13" s="15" t="inlineStr">
        <is>
          <t>S1-13 (#54)</t>
        </is>
      </c>
      <c r="N13" s="15" t="inlineStr">
        <is>
          <t>Movido a la semana 19–24 oct (bloques dobles de Diego en IA_DIEGO.md) · 21-oct: 7 fichas verificadas de gestión del conocimiento (D01)</t>
        </is>
      </c>
    </row>
    <row r="14">
      <c r="A14" s="15" t="inlineStr">
        <is>
          <t>S1-T09</t>
        </is>
      </c>
      <c r="B14" s="22" t="n">
        <v>46308</v>
      </c>
      <c r="C14" s="23">
        <f>B14</f>
        <v/>
      </c>
      <c r="D14" s="15" t="inlineStr">
        <is>
          <t>Leer el Documento madre y el Glosario, para entender el proyecto completo</t>
        </is>
      </c>
      <c r="E14" s="15" t="inlineStr">
        <is>
          <t>Diego</t>
        </is>
      </c>
      <c r="F14" s="15" t="inlineStr">
        <is>
          <t>00_DOCUMENTO_MADRE.pdf y Glosario.pdf (raíz)</t>
        </is>
      </c>
      <c r="G14" s="15" t="inlineStr">
        <is>
          <t>Dudas anotadas en el issue #10</t>
        </is>
      </c>
      <c r="H14" s="15" t="inlineStr">
        <is>
          <t>Dudas enviadas a Víctor</t>
        </is>
      </c>
      <c r="I14" s="24" t="n">
        <v>0.5</v>
      </c>
      <c r="J14" s="22" t="n">
        <v>46314</v>
      </c>
      <c r="K14" s="15" t="inlineStr">
        <is>
          <t>Hecho</t>
        </is>
      </c>
      <c r="L14" s="15">
        <f>IF(K14="Cancelado","",IF(J14&lt;&gt;"",J14-B14,IF(AND(K14&lt;&gt;"Hecho",TODAY()&gt;B14),TODAY()-B14,0)))</f>
        <v/>
      </c>
      <c r="M14" s="15" t="inlineStr">
        <is>
          <t>S1-10 (#10)</t>
        </is>
      </c>
      <c r="N14" s="15" t="inlineStr">
        <is>
          <t>Movido a la semana 19–24 oct (bloques dobles de Diego en IA_DIEGO.md) · 19-oct: leído; 5 dudas en 00_Inbox/2026-10-19_reporte_Diego.md</t>
        </is>
      </c>
    </row>
    <row r="15">
      <c r="A15" s="15" t="inlineStr">
        <is>
          <t>S1-T10</t>
        </is>
      </c>
      <c r="B15" s="22" t="n">
        <v>46309</v>
      </c>
      <c r="C15" s="23">
        <f>B15</f>
        <v/>
      </c>
      <c r="D15" s="15" t="inlineStr">
        <is>
          <t>Revisar la respuesta de Torvesa y ajustar el campo del jueves y viernes, para saber qué se puede aplicar</t>
        </is>
      </c>
      <c r="E15" s="15" t="inlineStr">
        <is>
          <t>Víctor</t>
        </is>
      </c>
      <c r="F15" s="15" t="inlineStr">
        <is>
          <t>Correo · 11_Planificacion/Cronograma_Tesis.xlsx</t>
        </is>
      </c>
      <c r="G15" s="15" t="inlineStr">
        <is>
          <t>Campo confirmado o reprogramado</t>
        </is>
      </c>
      <c r="H15" s="15" t="inlineStr">
        <is>
          <t>Notas de esta fila actualizadas</t>
        </is>
      </c>
      <c r="I15" s="24" t="n">
        <v>0.25</v>
      </c>
      <c r="J15" s="22" t="n"/>
      <c r="K15" s="15" t="inlineStr">
        <is>
          <t>Movido</t>
        </is>
      </c>
      <c r="L15" s="15">
        <f>IF(K15="Cancelado","",IF(J15&lt;&gt;"",J15-B15,IF(AND(K15&lt;&gt;"Hecho",TODAY()&gt;B15),TODAY()-B15,0)))</f>
        <v/>
      </c>
      <c r="M15" s="15" t="inlineStr">
        <is>
          <t>S1-05 (#5)</t>
        </is>
      </c>
      <c r="N15" s="15" t="inlineStr">
        <is>
          <t>Movido: se aplica cuando Torvesa autorice (Diego consigue la información y los permisos)</t>
        </is>
      </c>
    </row>
    <row r="16">
      <c r="A16" s="15" t="inlineStr">
        <is>
          <t>S1-T11</t>
        </is>
      </c>
      <c r="B16" s="22" t="n">
        <v>46309</v>
      </c>
      <c r="C16" s="23">
        <f>B16</f>
        <v/>
      </c>
      <c r="D16" s="15" t="inlineStr">
        <is>
          <t>Corregir los instrumentos a la versión 0.2, para aplicarlos en Torvesa</t>
        </is>
      </c>
      <c r="E16" s="15" t="inlineStr">
        <is>
          <t>Víctor</t>
        </is>
      </c>
      <c r="F16" s="15" t="inlineStr">
        <is>
          <t>04_Instrumentos/</t>
        </is>
      </c>
      <c r="G16" s="15" t="inlineStr">
        <is>
          <t>04_Instrumentos/2026-10-14_*_v0.2 (.md + Word)</t>
        </is>
      </c>
      <c r="H16" s="15" t="inlineStr">
        <is>
          <t>Aprobados e impresos</t>
        </is>
      </c>
      <c r="I16" s="24" t="n">
        <v>0.75</v>
      </c>
      <c r="J16" s="22" t="n">
        <v>46313</v>
      </c>
      <c r="K16" s="15" t="inlineStr">
        <is>
          <t>Hecho</t>
        </is>
      </c>
      <c r="L16" s="15">
        <f>IF(K16="Cancelado","",IF(J16&lt;&gt;"",J16-B16,IF(AND(K16&lt;&gt;"Hecho",TODAY()&gt;B16),TODAY()-B16,0)))</f>
        <v/>
      </c>
      <c r="M16" s="15" t="inlineStr">
        <is>
          <t>S1-04 (#4)</t>
        </is>
      </c>
      <c r="N16" s="15" t="inlineStr">
        <is>
          <t>C1 v0.2 (artículos de la LOPDP) e I1 v0.2 (SUS validada en español) en 04_Instrumentos/2026-10-18_*. I2, I3, P1 y P2 siguen en v0.1</t>
        </is>
      </c>
    </row>
    <row r="17">
      <c r="A17" s="15" t="inlineStr">
        <is>
          <t>S1-T12</t>
        </is>
      </c>
      <c r="B17" s="22" t="n">
        <v>46309</v>
      </c>
      <c r="C17" s="23">
        <f>B17</f>
        <v/>
      </c>
      <c r="D17" s="15" t="inlineStr">
        <is>
          <t>Hacer el corte de fuentes: armar la matriz afirmación–fuente–estado, para decidir qué entra al capítulo 1</t>
        </is>
      </c>
      <c r="E17" s="15" t="inlineStr">
        <is>
          <t>Víctor</t>
        </is>
      </c>
      <c r="F17" s="15" t="inlineStr">
        <is>
          <t>03_Matriz_Objetivos/</t>
        </is>
      </c>
      <c r="G17" s="15" t="inlineStr">
        <is>
          <t>03_Matriz_Objetivos/2026-10-14_Matriz_Afirmaciones_v0.1.xlsx</t>
        </is>
      </c>
      <c r="H17" s="15" t="inlineStr">
        <is>
          <t>Las 47 afirmaciones tienen estado</t>
        </is>
      </c>
      <c r="I17" s="24" t="n">
        <v>1</v>
      </c>
      <c r="J17" s="22" t="n">
        <v>46313</v>
      </c>
      <c r="K17" s="15" t="inlineStr">
        <is>
          <t>Hecho</t>
        </is>
      </c>
      <c r="L17" s="15">
        <f>IF(K17="Cancelado","",IF(J17&lt;&gt;"",J17-B17,IF(AND(K17&lt;&gt;"Hecho",TODAY()&gt;B17),TODAY()-B17,0)))</f>
        <v/>
      </c>
      <c r="M17" s="15" t="inlineStr">
        <is>
          <t>S1-03 (#3)</t>
        </is>
      </c>
      <c r="N17" s="15" t="inlineStr">
        <is>
          <t>03_Matriz_Objetivos/2026-10-18_Matriz_Afirmaciones_v0.1.xlsx: 9 respaldadas, 7 parciales, 1 reformular, 5 de campo, 1 no se usa, 19 sin fuente</t>
        </is>
      </c>
    </row>
    <row r="18">
      <c r="A18" s="15" t="inlineStr">
        <is>
          <t>S1-T13</t>
        </is>
      </c>
      <c r="B18" s="22" t="n">
        <v>46309</v>
      </c>
      <c r="C18" s="23">
        <f>B18</f>
        <v/>
      </c>
      <c r="D18" s="15" t="inlineStr">
        <is>
          <t>Investigar arquitecturas RAG para negocio, para proponer cómo el asistente consultará la bóveda</t>
        </is>
      </c>
      <c r="E18" s="15" t="inlineStr">
        <is>
          <t>Diego</t>
        </is>
      </c>
      <c r="F18" s="15" t="inlineStr">
        <is>
          <t>02_Fuentes/Tecnologia_IA/</t>
        </is>
      </c>
      <c r="G18" s="15" t="inlineStr">
        <is>
          <t>≥5 fichas</t>
        </is>
      </c>
      <c r="H18" s="15" t="inlineStr">
        <is>
          <t>Cada ficha dice qué respalda</t>
        </is>
      </c>
      <c r="I18" s="24" t="n">
        <v>1.5</v>
      </c>
      <c r="J18" s="22" t="n">
        <v>46316</v>
      </c>
      <c r="K18" s="15" t="inlineStr">
        <is>
          <t>Hecho</t>
        </is>
      </c>
      <c r="L18" s="15">
        <f>IF(K18="Cancelado","",IF(J18&lt;&gt;"",J18-B18,IF(AND(K18&lt;&gt;"Hecho",TODAY()&gt;B18),TODAY()-B18,0)))</f>
        <v/>
      </c>
      <c r="M18" s="15" t="inlineStr">
        <is>
          <t>S1-13 (#54)</t>
        </is>
      </c>
      <c r="N18" s="15" t="inlineStr">
        <is>
          <t>Movido a la semana 19–24 oct (bloques dobles de Diego en IA_DIEGO.md) · 21-oct: 6 fichas verificadas de RAG (D02); A37 cubierta</t>
        </is>
      </c>
    </row>
    <row r="19">
      <c r="A19" s="15" t="inlineStr">
        <is>
          <t>S1-T14</t>
        </is>
      </c>
      <c r="B19" s="22" t="n">
        <v>46309</v>
      </c>
      <c r="C19" s="23">
        <f>B19</f>
        <v/>
      </c>
      <c r="D19" s="15" t="inlineStr">
        <is>
          <t>Escribir un resumen de 1 página para Víctor sobre bóvedas y RAG, para compartir lo aprendido</t>
        </is>
      </c>
      <c r="E19" s="15" t="inlineStr">
        <is>
          <t>Diego</t>
        </is>
      </c>
      <c r="F19" s="15" t="inlineStr">
        <is>
          <t>02_Fuentes/Tecnologia_IA/</t>
        </is>
      </c>
      <c r="G19" s="15" t="inlineStr">
        <is>
          <t>02_Fuentes/Tecnologia_IA/2026-10-14_Resumen_Bovedas_RAG.md</t>
        </is>
      </c>
      <c r="H19" s="15" t="inlineStr">
        <is>
          <t>Víctor lo leyó</t>
        </is>
      </c>
      <c r="I19" s="24" t="n">
        <v>0.5</v>
      </c>
      <c r="J19" s="22" t="n">
        <v>46320</v>
      </c>
      <c r="K19" s="15" t="inlineStr">
        <is>
          <t>Hecho</t>
        </is>
      </c>
      <c r="L19" s="15">
        <f>IF(K19="Cancelado","",IF(J19&lt;&gt;"",J19-B19,IF(AND(K19&lt;&gt;"Hecho",TODAY()&gt;B19),TODAY()-B19,0)))</f>
        <v/>
      </c>
      <c r="M19" s="15" t="inlineStr">
        <is>
          <t>S1-13 (#54)</t>
        </is>
      </c>
      <c r="N19" s="15" t="inlineStr">
        <is>
          <t>Movido a la semana 19–24 oct (bloques dobles de Diego en IA_DIEGO.md) · 25-oct: 02_Fuentes/Tecnologia_IA/2026-10-25_Resumen_Bovedas_RAG.md</t>
        </is>
      </c>
    </row>
    <row r="20">
      <c r="A20" s="15" t="inlineStr">
        <is>
          <t>S1-T15</t>
        </is>
      </c>
      <c r="B20" s="22" t="n">
        <v>46310</v>
      </c>
      <c r="C20" s="23">
        <f>B20</f>
        <v/>
      </c>
      <c r="D20" s="15" t="inlineStr">
        <is>
          <t>Aplicar la encuesta a colaboradores y 2 entrevistas en Torvesa (si autorizó), para la línea base real</t>
        </is>
      </c>
      <c r="E20" s="15" t="inlineStr">
        <is>
          <t>Víctor</t>
        </is>
      </c>
      <c r="F20" s="15" t="inlineStr">
        <is>
          <t>Torvesa (oficina, Quito) · registro en 05_Datos_Campo/LineaBase_2026-10/</t>
        </is>
      </c>
      <c r="G20" s="15" t="inlineStr">
        <is>
          <t>Hojas firmadas + 05_Datos_Campo/LineaBase_2026-10/registro_aplicacion.csv</t>
        </is>
      </c>
      <c r="H20" s="15" t="inlineStr">
        <is>
          <t>Cada aplicación está en el registro</t>
        </is>
      </c>
      <c r="I20" s="24" t="n">
        <v>2</v>
      </c>
      <c r="J20" s="22" t="n"/>
      <c r="K20" s="15" t="inlineStr">
        <is>
          <t>Movido</t>
        </is>
      </c>
      <c r="L20" s="15">
        <f>IF(K20="Cancelado","",IF(J20&lt;&gt;"",J20-B20,IF(AND(K20&lt;&gt;"Hecho",TODAY()&gt;B20),TODAY()-B20,0)))</f>
        <v/>
      </c>
      <c r="M20" s="15" t="inlineStr">
        <is>
          <t>S1-08 (#8)</t>
        </is>
      </c>
      <c r="N20" s="15" t="inlineStr">
        <is>
          <t>Movido: se aplica cuando Torvesa autorice (Diego consigue la información y los permisos)</t>
        </is>
      </c>
    </row>
    <row r="21">
      <c r="A21" s="15" t="inlineStr">
        <is>
          <t>S1-T16</t>
        </is>
      </c>
      <c r="B21" s="22" t="n">
        <v>46310</v>
      </c>
      <c r="C21" s="23">
        <f>B21</f>
        <v/>
      </c>
      <c r="D21" s="15" t="inlineStr">
        <is>
          <t>Cronometrar las cotizaciones del día en Torvesa (si autorizó), para medir el tiempo real (meta M2)</t>
        </is>
      </c>
      <c r="E21" s="15" t="inlineStr">
        <is>
          <t>Diego</t>
        </is>
      </c>
      <c r="F21" s="15" t="inlineStr">
        <is>
          <t>Torvesa (oficina, Quito)</t>
        </is>
      </c>
      <c r="G21" s="15" t="inlineStr">
        <is>
          <t>05_Datos_Campo/LineaBase_2026-10/P2A_cronometraje.csv</t>
        </is>
      </c>
      <c r="H21" s="15" t="inlineStr">
        <is>
          <t>Todas las cotizaciones observadas registradas</t>
        </is>
      </c>
      <c r="I21" s="24" t="n">
        <v>2</v>
      </c>
      <c r="J21" s="22" t="n"/>
      <c r="K21" s="15" t="inlineStr">
        <is>
          <t>Movido</t>
        </is>
      </c>
      <c r="L21" s="15">
        <f>IF(K21="Cancelado","",IF(J21&lt;&gt;"",J21-B21,IF(AND(K21&lt;&gt;"Hecho",TODAY()&gt;B21),TODAY()-B21,0)))</f>
        <v/>
      </c>
      <c r="M21" s="15" t="inlineStr">
        <is>
          <t>S1-09 (#9)</t>
        </is>
      </c>
      <c r="N21" s="15" t="inlineStr">
        <is>
          <t>Movido: se aplica cuando Torvesa autorice (Diego consigue la información y los permisos) · 27-oct: bloqueada, Torvesa aún no autoriza el campo; copia en S4-T16 (reprogramada 27-oct)</t>
        </is>
      </c>
    </row>
    <row r="22">
      <c r="A22" s="15" t="inlineStr">
        <is>
          <t>S1-T17</t>
        </is>
      </c>
      <c r="B22" s="22" t="n">
        <v>46311</v>
      </c>
      <c r="C22" s="23">
        <f>B22</f>
        <v/>
      </c>
      <c r="D22" s="15" t="inlineStr">
        <is>
          <t>Llamar a los clientes para la encuesta corta (si autorizó), para conocer su experiencia</t>
        </is>
      </c>
      <c r="E22" s="15" t="inlineStr">
        <is>
          <t>Víctor</t>
        </is>
      </c>
      <c r="F22" s="15" t="inlineStr">
        <is>
          <t>Teléfono · lista solo en 05_Datos_Campo/_crudo/ (privada)</t>
        </is>
      </c>
      <c r="G22" s="15" t="inlineStr">
        <is>
          <t>Respuestas codificadas CLI-xx</t>
        </is>
      </c>
      <c r="H22" s="15" t="inlineStr">
        <is>
          <t>Cada llamada con consentimiento verbal registrado</t>
        </is>
      </c>
      <c r="I22" s="24" t="n">
        <v>2</v>
      </c>
      <c r="J22" s="22" t="n"/>
      <c r="K22" s="15" t="inlineStr">
        <is>
          <t>Movido</t>
        </is>
      </c>
      <c r="L22" s="15">
        <f>IF(K22="Cancelado","",IF(J22&lt;&gt;"",J22-B22,IF(AND(K22&lt;&gt;"Hecho",TODAY()&gt;B22),TODAY()-B22,0)))</f>
        <v/>
      </c>
      <c r="M22" s="15" t="inlineStr">
        <is>
          <t>S1-08 (#8)</t>
        </is>
      </c>
      <c r="N22" s="15" t="inlineStr">
        <is>
          <t>Movido: se aplica cuando Torvesa autorice (Diego consigue la información y los permisos)</t>
        </is>
      </c>
    </row>
    <row r="23">
      <c r="A23" s="15" t="inlineStr">
        <is>
          <t>S1-T18</t>
        </is>
      </c>
      <c r="B23" s="22" t="n">
        <v>46311</v>
      </c>
      <c r="C23" s="23">
        <f>B23</f>
        <v/>
      </c>
      <c r="D23" s="15" t="inlineStr">
        <is>
          <t>Revisar solicitudes y cotizaciones de los últimos 3 meses (solo fechas y horas), para medir el tiempo de respuesta (meta M1)</t>
        </is>
      </c>
      <c r="E23" s="15" t="inlineStr">
        <is>
          <t>Diego</t>
        </is>
      </c>
      <c r="F23" s="15" t="inlineStr">
        <is>
          <t>Torvesa (oficina, Quito)</t>
        </is>
      </c>
      <c r="G23" s="15" t="inlineStr">
        <is>
          <t>05_Datos_Campo/LineaBase_2026-10/P2B_muestra_documental.csv</t>
        </is>
      </c>
      <c r="H23" s="15" t="inlineStr">
        <is>
          <t>≥20 solicitudes o todas las disponibles</t>
        </is>
      </c>
      <c r="I23" s="24" t="n">
        <v>2</v>
      </c>
      <c r="J23" s="22" t="n"/>
      <c r="K23" s="15" t="inlineStr">
        <is>
          <t>Movido</t>
        </is>
      </c>
      <c r="L23" s="15">
        <f>IF(K23="Cancelado","",IF(J23&lt;&gt;"",J23-B23,IF(AND(K23&lt;&gt;"Hecho",TODAY()&gt;B23),TODAY()-B23,0)))</f>
        <v/>
      </c>
      <c r="M23" s="15" t="inlineStr">
        <is>
          <t>S1-09 (#9)</t>
        </is>
      </c>
      <c r="N23" s="15" t="inlineStr">
        <is>
          <t>Movido: se aplica cuando Torvesa autorice (Diego consigue la información y los permisos) · 27-oct: bloqueada, Torvesa aún no autoriza el campo; copia en S4-T16 (reprogramada 27-oct)</t>
        </is>
      </c>
    </row>
    <row r="24">
      <c r="A24" s="15" t="inlineStr">
        <is>
          <t>S1-T19</t>
        </is>
      </c>
      <c r="B24" s="22" t="n">
        <v>46312</v>
      </c>
      <c r="C24" s="23">
        <f>B24</f>
        <v/>
      </c>
      <c r="D24" s="15" t="inlineStr">
        <is>
          <t>Buscar el texto oficial de la ley de datos (LOPDP) y agregar sus artículos al consentimiento, para cumplir la ley</t>
        </is>
      </c>
      <c r="E24" s="15" t="inlineStr">
        <is>
          <t>Víctor</t>
        </is>
      </c>
      <c r="F24" s="15" t="inlineStr">
        <is>
          <t>02_Fuentes/Normativa/ y 04_Instrumentos/</t>
        </is>
      </c>
      <c r="G24" s="15" t="inlineStr">
        <is>
          <t>Ficha LOPDP + consentimiento v0.2 con artículos</t>
        </is>
      </c>
      <c r="H24" s="15" t="inlineStr">
        <is>
          <t>Artículos citados desde el Registro Oficial</t>
        </is>
      </c>
      <c r="I24" s="24" t="n">
        <v>1.5</v>
      </c>
      <c r="J24" s="22" t="n">
        <v>46313</v>
      </c>
      <c r="K24" s="15" t="inlineStr">
        <is>
          <t>Hecho</t>
        </is>
      </c>
      <c r="L24" s="15">
        <f>IF(K24="Cancelado","",IF(J24&lt;&gt;"",J24-B24,IF(AND(K24&lt;&gt;"Hecho",TODAY()&gt;B24),TODAY()-B24,0)))</f>
        <v/>
      </c>
      <c r="M24" s="15" t="inlineStr">
        <is>
          <t>S1-02 (#2)</t>
        </is>
      </c>
      <c r="N24" s="15" t="inlineStr">
        <is>
          <t>LOPDP verificada en el Registro Oficial (RO 459, Quinto Suplemento, 26-may-2021) y Reglamento (Decreto 904, RO 435). Artículos en C1 v0.2</t>
        </is>
      </c>
    </row>
    <row r="25">
      <c r="A25" s="15" t="inlineStr">
        <is>
          <t>S1-T20</t>
        </is>
      </c>
      <c r="B25" s="22" t="n">
        <v>46312</v>
      </c>
      <c r="C25" s="23">
        <f>B25</f>
        <v/>
      </c>
      <c r="D25" s="15" t="inlineStr">
        <is>
          <t>Buscar la versión validada en español de la escala SUS, para medir la usabilidad correctamente</t>
        </is>
      </c>
      <c r="E25" s="15" t="inlineStr">
        <is>
          <t>Víctor</t>
        </is>
      </c>
      <c r="F25" s="15" t="inlineStr">
        <is>
          <t>02_Fuentes/Metodologia/</t>
        </is>
      </c>
      <c r="G25" s="15" t="inlineStr">
        <is>
          <t>Ficha verificada + encuesta I1 v0.2 con la traducción</t>
        </is>
      </c>
      <c r="H25" s="15" t="inlineStr">
        <is>
          <t>Traducción con fuente</t>
        </is>
      </c>
      <c r="I25" s="24" t="n">
        <v>1</v>
      </c>
      <c r="J25" s="22" t="n">
        <v>46313</v>
      </c>
      <c r="K25" s="15" t="inlineStr">
        <is>
          <t>Hecho</t>
        </is>
      </c>
      <c r="L25" s="15">
        <f>IF(K25="Cancelado","",IF(J25&lt;&gt;"",J25-B25,IF(AND(K25&lt;&gt;"Hecho",TODAY()&gt;B25),TODAY()-B25,0)))</f>
        <v/>
      </c>
      <c r="M25" s="15" t="inlineStr">
        <is>
          <t>S1-02 (#2)</t>
        </is>
      </c>
      <c r="N25" s="15" t="inlineStr">
        <is>
          <t>Sevilla-Gonzalez et al. (2020), JMIR Human Factors: α = 0,812. Falta el umbral 68 (Lewis y Sauro 2018, PDF a mano)</t>
        </is>
      </c>
    </row>
    <row r="26">
      <c r="A26" s="15" t="inlineStr">
        <is>
          <t>S1-T21</t>
        </is>
      </c>
      <c r="B26" s="22" t="n">
        <v>46312</v>
      </c>
      <c r="C26" s="23">
        <f>B26</f>
        <v/>
      </c>
      <c r="D26" s="15" t="inlineStr">
        <is>
          <t>Buscar fuentes de metodología (DSR, Design Thinking, Scrum, censo), para justificar el método</t>
        </is>
      </c>
      <c r="E26" s="15" t="inlineStr">
        <is>
          <t>Víctor</t>
        </is>
      </c>
      <c r="F26" s="15" t="inlineStr">
        <is>
          <t>02_Fuentes/Metodologia/</t>
        </is>
      </c>
      <c r="G26" s="15" t="inlineStr">
        <is>
          <t>≥6 fichas</t>
        </is>
      </c>
      <c r="H26" s="15" t="inlineStr">
        <is>
          <t>Cada método con 2–3 fuentes</t>
        </is>
      </c>
      <c r="I26" s="24" t="n">
        <v>1.5</v>
      </c>
      <c r="J26" s="22" t="n"/>
      <c r="K26" s="15" t="inlineStr">
        <is>
          <t>En curso</t>
        </is>
      </c>
      <c r="L26" s="15">
        <f>IF(K26="Cancelado","",IF(J26&lt;&gt;"",J26-B26,IF(AND(K26&lt;&gt;"Hecho",TODAY()&gt;B26),TODAY()-B26,0)))</f>
        <v/>
      </c>
      <c r="M26" s="15" t="inlineStr">
        <is>
          <t>S1-02 (#2)</t>
        </is>
      </c>
      <c r="N26" s="15" t="inlineStr">
        <is>
          <t>Verificadas: Guía Scrum 2020, Sassa 2023, Tuunanen 2024 (DSR), Dawadi 2021 (mixto), Cuadrado Torres 2023 (DT). Falta: censo (Hernández-Sampieri), DT teórico (Auernhammer 2021)</t>
        </is>
      </c>
    </row>
    <row r="27">
      <c r="A27" s="15" t="inlineStr">
        <is>
          <t>S1-T22</t>
        </is>
      </c>
      <c r="B27" s="22" t="n">
        <v>46312</v>
      </c>
      <c r="C27" s="23">
        <f>B27</f>
        <v/>
      </c>
      <c r="D27" s="15" t="inlineStr">
        <is>
          <t>Investigar flujos de información y diseño de procesos (BPMN), para dibujar el proceso de Torvesa</t>
        </is>
      </c>
      <c r="E27" s="15" t="inlineStr">
        <is>
          <t>Diego</t>
        </is>
      </c>
      <c r="F27" s="15" t="inlineStr">
        <is>
          <t>02_Fuentes/Metodologia/</t>
        </is>
      </c>
      <c r="G27" s="15" t="inlineStr">
        <is>
          <t>≥5 fichas</t>
        </is>
      </c>
      <c r="H27" s="15" t="inlineStr">
        <is>
          <t>Cada ficha dice qué respalda</t>
        </is>
      </c>
      <c r="I27" s="24" t="n">
        <v>1.5</v>
      </c>
      <c r="J27" s="22" t="n">
        <v>46320</v>
      </c>
      <c r="K27" s="15" t="inlineStr">
        <is>
          <t>Hecho</t>
        </is>
      </c>
      <c r="L27" s="15">
        <f>IF(K27="Cancelado","",IF(J27&lt;&gt;"",J27-B27,IF(AND(K27&lt;&gt;"Hecho",TODAY()&gt;B27),TODAY()-B27,0)))</f>
        <v/>
      </c>
      <c r="M27" s="15" t="inlineStr">
        <is>
          <t>S1-14 (#55)</t>
        </is>
      </c>
      <c r="N27" s="15" t="inlineStr">
        <is>
          <t>Movido a la semana 19–24 oct (bloques dobles de Diego en IA_DIEGO.md) · 25-oct: 6 fichas verificadas de BPMN y procesos, incluida la especificación OMG</t>
        </is>
      </c>
    </row>
    <row r="28">
      <c r="A28" s="15" t="inlineStr">
        <is>
          <t>S1-T23</t>
        </is>
      </c>
      <c r="B28" s="22" t="n">
        <v>46312</v>
      </c>
      <c r="C28" s="23">
        <f>B28</f>
        <v/>
      </c>
      <c r="D28" s="15" t="inlineStr">
        <is>
          <t>Investigar CRMs móviles y herramientas existentes con sus precios, para comparar y calcular costos</t>
        </is>
      </c>
      <c r="E28" s="15" t="inlineStr">
        <is>
          <t>Diego</t>
        </is>
      </c>
      <c r="F28" s="15" t="inlineStr">
        <is>
          <t>02_Fuentes/Casos_Estudio/ y 02_Fuentes/Costos_Viabilidad/</t>
        </is>
      </c>
      <c r="G28" s="15" t="inlineStr">
        <is>
          <t>Tabla de ≥6 herramientas con precio y fecha</t>
        </is>
      </c>
      <c r="H28" s="15" t="inlineStr">
        <is>
          <t>Cada precio con enlace oficial</t>
        </is>
      </c>
      <c r="I28" s="24" t="n">
        <v>2</v>
      </c>
      <c r="J28" s="22" t="n">
        <v>46320</v>
      </c>
      <c r="K28" s="15" t="inlineStr">
        <is>
          <t>Hecho</t>
        </is>
      </c>
      <c r="L28" s="15">
        <f>IF(K28="Cancelado","",IF(J28&lt;&gt;"",J28-B28,IF(AND(K28&lt;&gt;"Hecho",TODAY()&gt;B28),TODAY()-B28,0)))</f>
        <v/>
      </c>
      <c r="M28" s="15" t="inlineStr">
        <is>
          <t>S1-15 (#56)</t>
        </is>
      </c>
      <c r="N28" s="15" t="inlineStr">
        <is>
          <t>Movido a la semana 19–24 oct (bloques dobles de Diego en IA_DIEGO.md) · 25-oct: fichas de precios de CRM, mensajería, bóveda y LLM (bloques G y H)</t>
        </is>
      </c>
    </row>
    <row r="29">
      <c r="A29" s="15" t="inlineStr">
        <is>
          <t>S1-T24</t>
        </is>
      </c>
      <c r="B29" s="22" t="n">
        <v>46313</v>
      </c>
      <c r="C29" s="23">
        <f>B29</f>
        <v/>
      </c>
      <c r="D29" s="15" t="inlineStr">
        <is>
          <t>Tabular y anonimizar los datos de campo, para que estén listos y sean confiables</t>
        </is>
      </c>
      <c r="E29" s="15" t="inlineStr">
        <is>
          <t>Ambos</t>
        </is>
      </c>
      <c r="F29" s="15" t="inlineStr">
        <is>
          <t>05_Datos_Campo/LineaBase_2026-10/</t>
        </is>
      </c>
      <c r="G29" s="15" t="inlineStr">
        <is>
          <t>CSV anonimizados + hashes + auditoría</t>
        </is>
      </c>
      <c r="H29" s="15" t="inlineStr">
        <is>
          <t>auditoria_pii.py dice 0 hallazgos</t>
        </is>
      </c>
      <c r="I29" s="24" t="n">
        <v>2</v>
      </c>
      <c r="J29" s="22" t="n"/>
      <c r="K29" s="15" t="inlineStr">
        <is>
          <t>Movido</t>
        </is>
      </c>
      <c r="L29" s="15">
        <f>IF(K29="Cancelado","",IF(J29&lt;&gt;"",J29-B29,IF(AND(K29&lt;&gt;"Hecho",TODAY()&gt;B29),TODAY()-B29,0)))</f>
        <v/>
      </c>
      <c r="M29" s="15" t="inlineStr">
        <is>
          <t>S1-12 (#12)</t>
        </is>
      </c>
      <c r="N29" s="15" t="inlineStr">
        <is>
          <t>Movido: se aplica cuando Torvesa autorice (Diego consigue la información y los permisos). Al día siguiente del campo · 27-oct: bloqueada, sin datos de campo; se hace al día siguiente del campo (S4-T16)</t>
        </is>
      </c>
    </row>
    <row r="30">
      <c r="A30" s="15" t="inlineStr">
        <is>
          <t>S1-T25</t>
        </is>
      </c>
      <c r="B30" s="22" t="n">
        <v>46313</v>
      </c>
      <c r="C30" s="23">
        <f>B30</f>
        <v/>
      </c>
      <c r="D30" s="15" t="inlineStr">
        <is>
          <t>Escribir un resumen de 1 página para Diego sobre el problema y sus fuentes</t>
        </is>
      </c>
      <c r="E30" s="15" t="inlineStr">
        <is>
          <t>Víctor</t>
        </is>
      </c>
      <c r="F30" s="15" t="inlineStr">
        <is>
          <t>02_Fuentes/Problema/</t>
        </is>
      </c>
      <c r="G30" s="15" t="inlineStr">
        <is>
          <t>02_Fuentes/Problema/2026-10-18_Resumen_Problema.md</t>
        </is>
      </c>
      <c r="H30" s="15" t="inlineStr">
        <is>
          <t>Diego lo leyó</t>
        </is>
      </c>
      <c r="I30" s="24" t="n">
        <v>0.5</v>
      </c>
      <c r="J30" s="22" t="n">
        <v>46313</v>
      </c>
      <c r="K30" s="15" t="inlineStr">
        <is>
          <t>Hecho</t>
        </is>
      </c>
      <c r="L30" s="15">
        <f>IF(K30="Cancelado","",IF(J30&lt;&gt;"",J30-B30,IF(AND(K30&lt;&gt;"Hecho",TODAY()&gt;B30),TODAY()-B30,0)))</f>
        <v/>
      </c>
      <c r="M30" s="15" t="inlineStr">
        <is>
          <t>S1-01 (#1)</t>
        </is>
      </c>
      <c r="N30" s="15" t="inlineStr">
        <is>
          <t>Borrador de Claude en 02_Fuentes/Problema/2026-10-18_Resumen_Problema.md; falta que Víctor lo revise</t>
        </is>
      </c>
    </row>
    <row r="31">
      <c r="A31" s="15" t="inlineStr">
        <is>
          <t>S1-T26</t>
        </is>
      </c>
      <c r="B31" s="22" t="n">
        <v>46313</v>
      </c>
      <c r="C31" s="23">
        <f>B31</f>
        <v/>
      </c>
      <c r="D31" s="15" t="inlineStr">
        <is>
          <t>Escribir un resumen de 1 página para Víctor sobre CRMs y flujos</t>
        </is>
      </c>
      <c r="E31" s="15" t="inlineStr">
        <is>
          <t>Diego</t>
        </is>
      </c>
      <c r="F31" s="15" t="inlineStr">
        <is>
          <t>02_Fuentes/Casos_Estudio/</t>
        </is>
      </c>
      <c r="G31" s="15" t="inlineStr">
        <is>
          <t>02_Fuentes/Casos_Estudio/2026-10-18_Resumen_CRM_Flujos.md</t>
        </is>
      </c>
      <c r="H31" s="15" t="inlineStr">
        <is>
          <t>Víctor lo leyó</t>
        </is>
      </c>
      <c r="I31" s="24" t="n">
        <v>0.5</v>
      </c>
      <c r="J31" s="22" t="n">
        <v>46320</v>
      </c>
      <c r="K31" s="15" t="inlineStr">
        <is>
          <t>Hecho</t>
        </is>
      </c>
      <c r="L31" s="15">
        <f>IF(K31="Cancelado","",IF(J31&lt;&gt;"",J31-B31,IF(AND(K31&lt;&gt;"Hecho",TODAY()&gt;B31),TODAY()-B31,0)))</f>
        <v/>
      </c>
      <c r="M31" s="15" t="inlineStr">
        <is>
          <t>S1-15 (#56)</t>
        </is>
      </c>
      <c r="N31" s="15" t="inlineStr">
        <is>
          <t>Movido a la semana 19–24 oct (bloques dobles de Diego en IA_DIEGO.md) · 25-oct: 02_Fuentes/Casos_Estudio/2026-10-25_Resumen_CRM_Flujos.md</t>
        </is>
      </c>
    </row>
    <row r="32">
      <c r="A32" s="15" t="inlineStr">
        <is>
          <t>S1-T27</t>
        </is>
      </c>
      <c r="B32" s="22" t="n">
        <v>46313</v>
      </c>
      <c r="C32" s="23">
        <f>B32</f>
        <v/>
      </c>
      <c r="D32" s="15" t="inlineStr">
        <is>
          <t>Revisar el sprint (qué hicimos, qué no, qué aprendimos), hacer 20 min de «explícame lo tuyo» y planificar el siguiente</t>
        </is>
      </c>
      <c r="E32" s="15" t="inlineStr">
        <is>
          <t>Ambos</t>
        </is>
      </c>
      <c r="F32" s="15" t="inlineStr">
        <is>
          <t>Llamada Víctor–Diego · 11_Planificacion/Bitacora_Semanal.md y 11_Planificacion/Cronograma_Tesis.xlsx</t>
        </is>
      </c>
      <c r="G32" s="15" t="inlineStr">
        <is>
          <t>Sección de la semana en la bitácora + hoja del sprint siguiente ajustada</t>
        </is>
      </c>
      <c r="H32" s="15" t="inlineStr">
        <is>
          <t>El informe del domingo (21:00) sale con la sección nueva</t>
        </is>
      </c>
      <c r="I32" s="24" t="n">
        <v>1</v>
      </c>
      <c r="J32" s="22" t="n"/>
      <c r="K32" s="15" t="inlineStr">
        <is>
          <t>En curso</t>
        </is>
      </c>
      <c r="L32" s="15">
        <f>IF(K32="Cancelado","",IF(J32&lt;&gt;"",J32-B32,IF(AND(K32&lt;&gt;"Hecho",TODAY()&gt;B32),TODAY()-B32,0)))</f>
        <v/>
      </c>
      <c r="M32" s="15" t="inlineStr">
        <is>
          <t>S1-16 (#57)</t>
        </is>
      </c>
      <c r="N32" s="15" t="inlineStr">
        <is>
          <t>Revisión del sprint hecha por Víctor y Claude el 18-oct; falta la llamada de 20 min con Diego</t>
        </is>
      </c>
    </row>
  </sheetData>
  <autoFilter ref="A5:N32"/>
  <conditionalFormatting sqref="A6:N32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dataValidations count="2">
    <dataValidation sqref="K6:K72" showDropDown="0" showInputMessage="0" showErrorMessage="0" allowBlank="1" type="list">
      <formula1>"Pendiente,En curso,Hecho,Movido,Cancelado"</formula1>
    </dataValidation>
    <dataValidation sqref="E6:E72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6" customHeight="1">
      <c r="A1" s="1" t="inlineStr">
        <is>
          <t>Carga por persona y día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Rojo = más horas que el límite (2 h entre semana, 4 h fin de semana) o más de 4 tareas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/>
    <row r="4">
      <c r="A4" s="6" t="inlineStr">
        <is>
          <t>Fecha</t>
        </is>
      </c>
      <c r="B4" s="6" t="inlineStr">
        <is>
          <t>Día</t>
        </is>
      </c>
      <c r="C4" s="6" t="inlineStr">
        <is>
          <t>Límite (h)</t>
        </is>
      </c>
      <c r="D4" s="6" t="inlineStr">
        <is>
          <t>Horas Víctor</t>
        </is>
      </c>
      <c r="E4" s="6" t="inlineStr">
        <is>
          <t>Horas Diego</t>
        </is>
      </c>
      <c r="F4" s="6" t="inlineStr">
        <is>
          <t>Tareas Víctor</t>
        </is>
      </c>
      <c r="G4" s="6" t="inlineStr">
        <is>
          <t>Tareas Diego</t>
        </is>
      </c>
    </row>
    <row r="5">
      <c r="A5" s="25" t="n">
        <v>46307</v>
      </c>
      <c r="B5" s="26">
        <f>A5</f>
        <v/>
      </c>
      <c r="C5" s="21">
        <f>IF(WEEKDAY(A5,2)&gt;5,4,2)</f>
        <v/>
      </c>
      <c r="D5" s="21">
        <f>SUMIFS('S1'!$I$6:$I$32,'S1'!$B$6:$B$32,$A5,'S1'!$E$6:$E$32,"Víctor")+SUMIFS('S1'!$I$6:$I$32,'S1'!$B$6:$B$32,$A5,'S1'!$E$6:$E$32,"Ambos")+SUMIFS('S2'!$I$6:$I$23,'S2'!$B$6:$B$23,$A5,'S2'!$E$6:$E$23,"Víctor")+SUMIFS('S2'!$I$6:$I$23,'S2'!$B$6:$B$23,$A5,'S2'!$E$6:$E$23,"Ambos")+SUMIFS('S3'!$I$6:$I$24,'S3'!$B$6:$B$24,$A5,'S3'!$E$6:$E$24,"Víctor")+SUMIFS('S3'!$I$6:$I$24,'S3'!$B$6:$B$24,$A5,'S3'!$E$6:$E$24,"Ambos")+SUMIFS('S4'!$I$6:$I$22,'S4'!$B$6:$B$22,$A5,'S4'!$E$6:$E$22,"Víctor")+SUMIFS('S4'!$I$6:$I$22,'S4'!$B$6:$B$22,$A5,'S4'!$E$6:$E$22,"Ambos")+SUMIFS('S5'!$I$6:$I$20,'S5'!$B$6:$B$20,$A5,'S5'!$E$6:$E$20,"Víctor")+SUMIFS('S5'!$I$6:$I$20,'S5'!$B$6:$B$20,$A5,'S5'!$E$6:$E$20,"Ambos")+SUMIFS('S6'!$I$6:$I$17,'S6'!$B$6:$B$17,$A5,'S6'!$E$6:$E$17,"Víctor")+SUMIFS('S6'!$I$6:$I$17,'S6'!$B$6:$B$17,$A5,'S6'!$E$6:$E$17,"Ambos")+SUMIFS('S7'!$I$6:$I$19,'S7'!$B$6:$B$19,$A5,'S7'!$E$6:$E$19,"Víctor")+SUMIFS('S7'!$I$6:$I$19,'S7'!$B$6:$B$19,$A5,'S7'!$E$6:$E$19,"Ambos")+SUMIFS('S8'!$I$6:$I$23,'S8'!$B$6:$B$23,$A5,'S8'!$E$6:$E$23,"Víctor")+SUMIFS('S8'!$I$6:$I$23,'S8'!$B$6:$B$23,$A5,'S8'!$E$6:$E$23,"Ambos")+SUMIFS('S9'!$I$6:$I$15,'S9'!$B$6:$B$15,$A5,'S9'!$E$6:$E$15,"Víctor")+SUMIFS('S9'!$I$6:$I$15,'S9'!$B$6:$B$15,$A5,'S9'!$E$6:$E$15,"Ambos")+SUMIFS('S10'!$I$6:$I$13,'S10'!$B$6:$B$13,$A5,'S10'!$E$6:$E$13,"Víctor")+SUMIFS('S10'!$I$6:$I$13,'S10'!$B$6:$B$13,$A5,'S10'!$E$6:$E$13,"Ambos")+SUMIFS('Holgura'!$I$6:$I$11,'Holgura'!$B$6:$B$11,$A5,'Holgura'!$E$6:$E$11,"Víctor")+SUMIFS('Holgura'!$I$6:$I$11,'Holgura'!$B$6:$B$11,$A5,'Holgura'!$E$6:$E$11,"Ambos")+SUMIFS('Entrega'!$I$6:$I$9,'Entrega'!$B$6:$B$9,$A5,'Entrega'!$E$6:$E$9,"Víctor")+SUMIFS('Entrega'!$I$6:$I$9,'Entrega'!$B$6:$B$9,$A5,'Entrega'!$E$6:$E$9,"Ambos")+SUMIFS('Defensa'!$I$6:$I$10,'Defensa'!$B$6:$B$10,$A5,'Defensa'!$E$6:$E$10,"Víctor")+SUMIFS('Defensa'!$I$6:$I$10,'Defensa'!$B$6:$B$10,$A5,'Defensa'!$E$6:$E$10,"Ambos")</f>
        <v/>
      </c>
      <c r="E5" s="21">
        <f>SUMIFS('S1'!$I$6:$I$32,'S1'!$B$6:$B$32,$A5,'S1'!$E$6:$E$32,"Diego")+SUMIFS('S1'!$I$6:$I$32,'S1'!$B$6:$B$32,$A5,'S1'!$E$6:$E$32,"Ambos")+SUMIFS('S2'!$I$6:$I$23,'S2'!$B$6:$B$23,$A5,'S2'!$E$6:$E$23,"Diego")+SUMIFS('S2'!$I$6:$I$23,'S2'!$B$6:$B$23,$A5,'S2'!$E$6:$E$23,"Ambos")+SUMIFS('S3'!$I$6:$I$24,'S3'!$B$6:$B$24,$A5,'S3'!$E$6:$E$24,"Diego")+SUMIFS('S3'!$I$6:$I$24,'S3'!$B$6:$B$24,$A5,'S3'!$E$6:$E$24,"Ambos")+SUMIFS('S4'!$I$6:$I$22,'S4'!$B$6:$B$22,$A5,'S4'!$E$6:$E$22,"Diego")+SUMIFS('S4'!$I$6:$I$22,'S4'!$B$6:$B$22,$A5,'S4'!$E$6:$E$22,"Ambos")+SUMIFS('S5'!$I$6:$I$20,'S5'!$B$6:$B$20,$A5,'S5'!$E$6:$E$20,"Diego")+SUMIFS('S5'!$I$6:$I$20,'S5'!$B$6:$B$20,$A5,'S5'!$E$6:$E$20,"Ambos")+SUMIFS('S6'!$I$6:$I$17,'S6'!$B$6:$B$17,$A5,'S6'!$E$6:$E$17,"Diego")+SUMIFS('S6'!$I$6:$I$17,'S6'!$B$6:$B$17,$A5,'S6'!$E$6:$E$17,"Ambos")+SUMIFS('S7'!$I$6:$I$19,'S7'!$B$6:$B$19,$A5,'S7'!$E$6:$E$19,"Diego")+SUMIFS('S7'!$I$6:$I$19,'S7'!$B$6:$B$19,$A5,'S7'!$E$6:$E$19,"Ambos")+SUMIFS('S8'!$I$6:$I$23,'S8'!$B$6:$B$23,$A5,'S8'!$E$6:$E$23,"Diego")+SUMIFS('S8'!$I$6:$I$23,'S8'!$B$6:$B$23,$A5,'S8'!$E$6:$E$23,"Ambos")+SUMIFS('S9'!$I$6:$I$15,'S9'!$B$6:$B$15,$A5,'S9'!$E$6:$E$15,"Diego")+SUMIFS('S9'!$I$6:$I$15,'S9'!$B$6:$B$15,$A5,'S9'!$E$6:$E$15,"Ambos")+SUMIFS('S10'!$I$6:$I$13,'S10'!$B$6:$B$13,$A5,'S10'!$E$6:$E$13,"Diego")+SUMIFS('S10'!$I$6:$I$13,'S10'!$B$6:$B$13,$A5,'S10'!$E$6:$E$13,"Ambos")+SUMIFS('Holgura'!$I$6:$I$11,'Holgura'!$B$6:$B$11,$A5,'Holgura'!$E$6:$E$11,"Diego")+SUMIFS('Holgura'!$I$6:$I$11,'Holgura'!$B$6:$B$11,$A5,'Holgura'!$E$6:$E$11,"Ambos")+SUMIFS('Entrega'!$I$6:$I$9,'Entrega'!$B$6:$B$9,$A5,'Entrega'!$E$6:$E$9,"Diego")+SUMIFS('Entrega'!$I$6:$I$9,'Entrega'!$B$6:$B$9,$A5,'Entrega'!$E$6:$E$9,"Ambos")+SUMIFS('Defensa'!$I$6:$I$10,'Defensa'!$B$6:$B$10,$A5,'Defensa'!$E$6:$E$10,"Diego")+SUMIFS('Defensa'!$I$6:$I$10,'Defensa'!$B$6:$B$10,$A5,'Defensa'!$E$6:$E$10,"Ambos")</f>
        <v/>
      </c>
      <c r="F5" s="21">
        <f>COUNTIFS('S1'!$B$6:$B$32,$A5,'S1'!$E$6:$E$32,"Víctor")+COUNTIFS('S1'!$B$6:$B$32,$A5,'S1'!$E$6:$E$32,"Ambos")+COUNTIFS('S2'!$B$6:$B$23,$A5,'S2'!$E$6:$E$23,"Víctor")+COUNTIFS('S2'!$B$6:$B$23,$A5,'S2'!$E$6:$E$23,"Ambos")+COUNTIFS('S3'!$B$6:$B$24,$A5,'S3'!$E$6:$E$24,"Víctor")+COUNTIFS('S3'!$B$6:$B$24,$A5,'S3'!$E$6:$E$24,"Ambos")+COUNTIFS('S4'!$B$6:$B$22,$A5,'S4'!$E$6:$E$22,"Víctor")+COUNTIFS('S4'!$B$6:$B$22,$A5,'S4'!$E$6:$E$22,"Ambos")+COUNTIFS('S5'!$B$6:$B$20,$A5,'S5'!$E$6:$E$20,"Víctor")+COUNTIFS('S5'!$B$6:$B$20,$A5,'S5'!$E$6:$E$20,"Ambos")+COUNTIFS('S6'!$B$6:$B$17,$A5,'S6'!$E$6:$E$17,"Víctor")+COUNTIFS('S6'!$B$6:$B$17,$A5,'S6'!$E$6:$E$17,"Ambos")+COUNTIFS('S7'!$B$6:$B$19,$A5,'S7'!$E$6:$E$19,"Víctor")+COUNTIFS('S7'!$B$6:$B$19,$A5,'S7'!$E$6:$E$19,"Ambos")+COUNTIFS('S8'!$B$6:$B$23,$A5,'S8'!$E$6:$E$23,"Víctor")+COUNTIFS('S8'!$B$6:$B$23,$A5,'S8'!$E$6:$E$23,"Ambos")+COUNTIFS('S9'!$B$6:$B$15,$A5,'S9'!$E$6:$E$15,"Víctor")+COUNTIFS('S9'!$B$6:$B$15,$A5,'S9'!$E$6:$E$15,"Ambos")+COUNTIFS('S10'!$B$6:$B$13,$A5,'S10'!$E$6:$E$13,"Víctor")+COUNTIFS('S10'!$B$6:$B$13,$A5,'S10'!$E$6:$E$13,"Ambos")+COUNTIFS('Holgura'!$B$6:$B$11,$A5,'Holgura'!$E$6:$E$11,"Víctor")+COUNTIFS('Holgura'!$B$6:$B$11,$A5,'Holgura'!$E$6:$E$11,"Ambos")+COUNTIFS('Entrega'!$B$6:$B$9,$A5,'Entrega'!$E$6:$E$9,"Víctor")+COUNTIFS('Entrega'!$B$6:$B$9,$A5,'Entrega'!$E$6:$E$9,"Ambos")+COUNTIFS('Defensa'!$B$6:$B$10,$A5,'Defensa'!$E$6:$E$10,"Víctor")+COUNTIFS('Defensa'!$B$6:$B$10,$A5,'Defensa'!$E$6:$E$10,"Ambos")</f>
        <v/>
      </c>
      <c r="G5" s="21">
        <f>COUNTIFS('S1'!$B$6:$B$32,$A5,'S1'!$E$6:$E$32,"Diego")+COUNTIFS('S1'!$B$6:$B$32,$A5,'S1'!$E$6:$E$32,"Ambos")+COUNTIFS('S2'!$B$6:$B$23,$A5,'S2'!$E$6:$E$23,"Diego")+COUNTIFS('S2'!$B$6:$B$23,$A5,'S2'!$E$6:$E$23,"Ambos")+COUNTIFS('S3'!$B$6:$B$24,$A5,'S3'!$E$6:$E$24,"Diego")+COUNTIFS('S3'!$B$6:$B$24,$A5,'S3'!$E$6:$E$24,"Ambos")+COUNTIFS('S4'!$B$6:$B$22,$A5,'S4'!$E$6:$E$22,"Diego")+COUNTIFS('S4'!$B$6:$B$22,$A5,'S4'!$E$6:$E$22,"Ambos")+COUNTIFS('S5'!$B$6:$B$20,$A5,'S5'!$E$6:$E$20,"Diego")+COUNTIFS('S5'!$B$6:$B$20,$A5,'S5'!$E$6:$E$20,"Ambos")+COUNTIFS('S6'!$B$6:$B$17,$A5,'S6'!$E$6:$E$17,"Diego")+COUNTIFS('S6'!$B$6:$B$17,$A5,'S6'!$E$6:$E$17,"Ambos")+COUNTIFS('S7'!$B$6:$B$19,$A5,'S7'!$E$6:$E$19,"Diego")+COUNTIFS('S7'!$B$6:$B$19,$A5,'S7'!$E$6:$E$19,"Ambos")+COUNTIFS('S8'!$B$6:$B$23,$A5,'S8'!$E$6:$E$23,"Diego")+COUNTIFS('S8'!$B$6:$B$23,$A5,'S8'!$E$6:$E$23,"Ambos")+COUNTIFS('S9'!$B$6:$B$15,$A5,'S9'!$E$6:$E$15,"Diego")+COUNTIFS('S9'!$B$6:$B$15,$A5,'S9'!$E$6:$E$15,"Ambos")+COUNTIFS('S10'!$B$6:$B$13,$A5,'S10'!$E$6:$E$13,"Diego")+COUNTIFS('S10'!$B$6:$B$13,$A5,'S10'!$E$6:$E$13,"Ambos")+COUNTIFS('Holgura'!$B$6:$B$11,$A5,'Holgura'!$E$6:$E$11,"Diego")+COUNTIFS('Holgura'!$B$6:$B$11,$A5,'Holgura'!$E$6:$E$11,"Ambos")+COUNTIFS('Entrega'!$B$6:$B$9,$A5,'Entrega'!$E$6:$E$9,"Diego")+COUNTIFS('Entrega'!$B$6:$B$9,$A5,'Entrega'!$E$6:$E$9,"Ambos")+COUNTIFS('Defensa'!$B$6:$B$10,$A5,'Defensa'!$E$6:$E$10,"Diego")+COUNTIFS('Defensa'!$B$6:$B$10,$A5,'Defensa'!$E$6:$E$10,"Ambos")</f>
        <v/>
      </c>
    </row>
    <row r="6">
      <c r="A6" s="25" t="n">
        <v>46308</v>
      </c>
      <c r="B6" s="26">
        <f>A6</f>
        <v/>
      </c>
      <c r="C6" s="21">
        <f>IF(WEEKDAY(A6,2)&gt;5,4,2)</f>
        <v/>
      </c>
      <c r="D6" s="21">
        <f>SUMIFS('S1'!$I$6:$I$32,'S1'!$B$6:$B$32,$A6,'S1'!$E$6:$E$32,"Víctor")+SUMIFS('S1'!$I$6:$I$32,'S1'!$B$6:$B$32,$A6,'S1'!$E$6:$E$32,"Ambos")+SUMIFS('S2'!$I$6:$I$23,'S2'!$B$6:$B$23,$A6,'S2'!$E$6:$E$23,"Víctor")+SUMIFS('S2'!$I$6:$I$23,'S2'!$B$6:$B$23,$A6,'S2'!$E$6:$E$23,"Ambos")+SUMIFS('S3'!$I$6:$I$24,'S3'!$B$6:$B$24,$A6,'S3'!$E$6:$E$24,"Víctor")+SUMIFS('S3'!$I$6:$I$24,'S3'!$B$6:$B$24,$A6,'S3'!$E$6:$E$24,"Ambos")+SUMIFS('S4'!$I$6:$I$22,'S4'!$B$6:$B$22,$A6,'S4'!$E$6:$E$22,"Víctor")+SUMIFS('S4'!$I$6:$I$22,'S4'!$B$6:$B$22,$A6,'S4'!$E$6:$E$22,"Ambos")+SUMIFS('S5'!$I$6:$I$20,'S5'!$B$6:$B$20,$A6,'S5'!$E$6:$E$20,"Víctor")+SUMIFS('S5'!$I$6:$I$20,'S5'!$B$6:$B$20,$A6,'S5'!$E$6:$E$20,"Ambos")+SUMIFS('S6'!$I$6:$I$17,'S6'!$B$6:$B$17,$A6,'S6'!$E$6:$E$17,"Víctor")+SUMIFS('S6'!$I$6:$I$17,'S6'!$B$6:$B$17,$A6,'S6'!$E$6:$E$17,"Ambos")+SUMIFS('S7'!$I$6:$I$19,'S7'!$B$6:$B$19,$A6,'S7'!$E$6:$E$19,"Víctor")+SUMIFS('S7'!$I$6:$I$19,'S7'!$B$6:$B$19,$A6,'S7'!$E$6:$E$19,"Ambos")+SUMIFS('S8'!$I$6:$I$23,'S8'!$B$6:$B$23,$A6,'S8'!$E$6:$E$23,"Víctor")+SUMIFS('S8'!$I$6:$I$23,'S8'!$B$6:$B$23,$A6,'S8'!$E$6:$E$23,"Ambos")+SUMIFS('S9'!$I$6:$I$15,'S9'!$B$6:$B$15,$A6,'S9'!$E$6:$E$15,"Víctor")+SUMIFS('S9'!$I$6:$I$15,'S9'!$B$6:$B$15,$A6,'S9'!$E$6:$E$15,"Ambos")+SUMIFS('S10'!$I$6:$I$13,'S10'!$B$6:$B$13,$A6,'S10'!$E$6:$E$13,"Víctor")+SUMIFS('S10'!$I$6:$I$13,'S10'!$B$6:$B$13,$A6,'S10'!$E$6:$E$13,"Ambos")+SUMIFS('Holgura'!$I$6:$I$11,'Holgura'!$B$6:$B$11,$A6,'Holgura'!$E$6:$E$11,"Víctor")+SUMIFS('Holgura'!$I$6:$I$11,'Holgura'!$B$6:$B$11,$A6,'Holgura'!$E$6:$E$11,"Ambos")+SUMIFS('Entrega'!$I$6:$I$9,'Entrega'!$B$6:$B$9,$A6,'Entrega'!$E$6:$E$9,"Víctor")+SUMIFS('Entrega'!$I$6:$I$9,'Entrega'!$B$6:$B$9,$A6,'Entrega'!$E$6:$E$9,"Ambos")+SUMIFS('Defensa'!$I$6:$I$10,'Defensa'!$B$6:$B$10,$A6,'Defensa'!$E$6:$E$10,"Víctor")+SUMIFS('Defensa'!$I$6:$I$10,'Defensa'!$B$6:$B$10,$A6,'Defensa'!$E$6:$E$10,"Ambos")</f>
        <v/>
      </c>
      <c r="E6" s="21">
        <f>SUMIFS('S1'!$I$6:$I$32,'S1'!$B$6:$B$32,$A6,'S1'!$E$6:$E$32,"Diego")+SUMIFS('S1'!$I$6:$I$32,'S1'!$B$6:$B$32,$A6,'S1'!$E$6:$E$32,"Ambos")+SUMIFS('S2'!$I$6:$I$23,'S2'!$B$6:$B$23,$A6,'S2'!$E$6:$E$23,"Diego")+SUMIFS('S2'!$I$6:$I$23,'S2'!$B$6:$B$23,$A6,'S2'!$E$6:$E$23,"Ambos")+SUMIFS('S3'!$I$6:$I$24,'S3'!$B$6:$B$24,$A6,'S3'!$E$6:$E$24,"Diego")+SUMIFS('S3'!$I$6:$I$24,'S3'!$B$6:$B$24,$A6,'S3'!$E$6:$E$24,"Ambos")+SUMIFS('S4'!$I$6:$I$22,'S4'!$B$6:$B$22,$A6,'S4'!$E$6:$E$22,"Diego")+SUMIFS('S4'!$I$6:$I$22,'S4'!$B$6:$B$22,$A6,'S4'!$E$6:$E$22,"Ambos")+SUMIFS('S5'!$I$6:$I$20,'S5'!$B$6:$B$20,$A6,'S5'!$E$6:$E$20,"Diego")+SUMIFS('S5'!$I$6:$I$20,'S5'!$B$6:$B$20,$A6,'S5'!$E$6:$E$20,"Ambos")+SUMIFS('S6'!$I$6:$I$17,'S6'!$B$6:$B$17,$A6,'S6'!$E$6:$E$17,"Diego")+SUMIFS('S6'!$I$6:$I$17,'S6'!$B$6:$B$17,$A6,'S6'!$E$6:$E$17,"Ambos")+SUMIFS('S7'!$I$6:$I$19,'S7'!$B$6:$B$19,$A6,'S7'!$E$6:$E$19,"Diego")+SUMIFS('S7'!$I$6:$I$19,'S7'!$B$6:$B$19,$A6,'S7'!$E$6:$E$19,"Ambos")+SUMIFS('S8'!$I$6:$I$23,'S8'!$B$6:$B$23,$A6,'S8'!$E$6:$E$23,"Diego")+SUMIFS('S8'!$I$6:$I$23,'S8'!$B$6:$B$23,$A6,'S8'!$E$6:$E$23,"Ambos")+SUMIFS('S9'!$I$6:$I$15,'S9'!$B$6:$B$15,$A6,'S9'!$E$6:$E$15,"Diego")+SUMIFS('S9'!$I$6:$I$15,'S9'!$B$6:$B$15,$A6,'S9'!$E$6:$E$15,"Ambos")+SUMIFS('S10'!$I$6:$I$13,'S10'!$B$6:$B$13,$A6,'S10'!$E$6:$E$13,"Diego")+SUMIFS('S10'!$I$6:$I$13,'S10'!$B$6:$B$13,$A6,'S10'!$E$6:$E$13,"Ambos")+SUMIFS('Holgura'!$I$6:$I$11,'Holgura'!$B$6:$B$11,$A6,'Holgura'!$E$6:$E$11,"Diego")+SUMIFS('Holgura'!$I$6:$I$11,'Holgura'!$B$6:$B$11,$A6,'Holgura'!$E$6:$E$11,"Ambos")+SUMIFS('Entrega'!$I$6:$I$9,'Entrega'!$B$6:$B$9,$A6,'Entrega'!$E$6:$E$9,"Diego")+SUMIFS('Entrega'!$I$6:$I$9,'Entrega'!$B$6:$B$9,$A6,'Entrega'!$E$6:$E$9,"Ambos")+SUMIFS('Defensa'!$I$6:$I$10,'Defensa'!$B$6:$B$10,$A6,'Defensa'!$E$6:$E$10,"Diego")+SUMIFS('Defensa'!$I$6:$I$10,'Defensa'!$B$6:$B$10,$A6,'Defensa'!$E$6:$E$10,"Ambos")</f>
        <v/>
      </c>
      <c r="F6" s="21">
        <f>COUNTIFS('S1'!$B$6:$B$32,$A6,'S1'!$E$6:$E$32,"Víctor")+COUNTIFS('S1'!$B$6:$B$32,$A6,'S1'!$E$6:$E$32,"Ambos")+COUNTIFS('S2'!$B$6:$B$23,$A6,'S2'!$E$6:$E$23,"Víctor")+COUNTIFS('S2'!$B$6:$B$23,$A6,'S2'!$E$6:$E$23,"Ambos")+COUNTIFS('S3'!$B$6:$B$24,$A6,'S3'!$E$6:$E$24,"Víctor")+COUNTIFS('S3'!$B$6:$B$24,$A6,'S3'!$E$6:$E$24,"Ambos")+COUNTIFS('S4'!$B$6:$B$22,$A6,'S4'!$E$6:$E$22,"Víctor")+COUNTIFS('S4'!$B$6:$B$22,$A6,'S4'!$E$6:$E$22,"Ambos")+COUNTIFS('S5'!$B$6:$B$20,$A6,'S5'!$E$6:$E$20,"Víctor")+COUNTIFS('S5'!$B$6:$B$20,$A6,'S5'!$E$6:$E$20,"Ambos")+COUNTIFS('S6'!$B$6:$B$17,$A6,'S6'!$E$6:$E$17,"Víctor")+COUNTIFS('S6'!$B$6:$B$17,$A6,'S6'!$E$6:$E$17,"Ambos")+COUNTIFS('S7'!$B$6:$B$19,$A6,'S7'!$E$6:$E$19,"Víctor")+COUNTIFS('S7'!$B$6:$B$19,$A6,'S7'!$E$6:$E$19,"Ambos")+COUNTIFS('S8'!$B$6:$B$23,$A6,'S8'!$E$6:$E$23,"Víctor")+COUNTIFS('S8'!$B$6:$B$23,$A6,'S8'!$E$6:$E$23,"Ambos")+COUNTIFS('S9'!$B$6:$B$15,$A6,'S9'!$E$6:$E$15,"Víctor")+COUNTIFS('S9'!$B$6:$B$15,$A6,'S9'!$E$6:$E$15,"Ambos")+COUNTIFS('S10'!$B$6:$B$13,$A6,'S10'!$E$6:$E$13,"Víctor")+COUNTIFS('S10'!$B$6:$B$13,$A6,'S10'!$E$6:$E$13,"Ambos")+COUNTIFS('Holgura'!$B$6:$B$11,$A6,'Holgura'!$E$6:$E$11,"Víctor")+COUNTIFS('Holgura'!$B$6:$B$11,$A6,'Holgura'!$E$6:$E$11,"Ambos")+COUNTIFS('Entrega'!$B$6:$B$9,$A6,'Entrega'!$E$6:$E$9,"Víctor")+COUNTIFS('Entrega'!$B$6:$B$9,$A6,'Entrega'!$E$6:$E$9,"Ambos")+COUNTIFS('Defensa'!$B$6:$B$10,$A6,'Defensa'!$E$6:$E$10,"Víctor")+COUNTIFS('Defensa'!$B$6:$B$10,$A6,'Defensa'!$E$6:$E$10,"Ambos")</f>
        <v/>
      </c>
      <c r="G6" s="21">
        <f>COUNTIFS('S1'!$B$6:$B$32,$A6,'S1'!$E$6:$E$32,"Diego")+COUNTIFS('S1'!$B$6:$B$32,$A6,'S1'!$E$6:$E$32,"Ambos")+COUNTIFS('S2'!$B$6:$B$23,$A6,'S2'!$E$6:$E$23,"Diego")+COUNTIFS('S2'!$B$6:$B$23,$A6,'S2'!$E$6:$E$23,"Ambos")+COUNTIFS('S3'!$B$6:$B$24,$A6,'S3'!$E$6:$E$24,"Diego")+COUNTIFS('S3'!$B$6:$B$24,$A6,'S3'!$E$6:$E$24,"Ambos")+COUNTIFS('S4'!$B$6:$B$22,$A6,'S4'!$E$6:$E$22,"Diego")+COUNTIFS('S4'!$B$6:$B$22,$A6,'S4'!$E$6:$E$22,"Ambos")+COUNTIFS('S5'!$B$6:$B$20,$A6,'S5'!$E$6:$E$20,"Diego")+COUNTIFS('S5'!$B$6:$B$20,$A6,'S5'!$E$6:$E$20,"Ambos")+COUNTIFS('S6'!$B$6:$B$17,$A6,'S6'!$E$6:$E$17,"Diego")+COUNTIFS('S6'!$B$6:$B$17,$A6,'S6'!$E$6:$E$17,"Ambos")+COUNTIFS('S7'!$B$6:$B$19,$A6,'S7'!$E$6:$E$19,"Diego")+COUNTIFS('S7'!$B$6:$B$19,$A6,'S7'!$E$6:$E$19,"Ambos")+COUNTIFS('S8'!$B$6:$B$23,$A6,'S8'!$E$6:$E$23,"Diego")+COUNTIFS('S8'!$B$6:$B$23,$A6,'S8'!$E$6:$E$23,"Ambos")+COUNTIFS('S9'!$B$6:$B$15,$A6,'S9'!$E$6:$E$15,"Diego")+COUNTIFS('S9'!$B$6:$B$15,$A6,'S9'!$E$6:$E$15,"Ambos")+COUNTIFS('S10'!$B$6:$B$13,$A6,'S10'!$E$6:$E$13,"Diego")+COUNTIFS('S10'!$B$6:$B$13,$A6,'S10'!$E$6:$E$13,"Ambos")+COUNTIFS('Holgura'!$B$6:$B$11,$A6,'Holgura'!$E$6:$E$11,"Diego")+COUNTIFS('Holgura'!$B$6:$B$11,$A6,'Holgura'!$E$6:$E$11,"Ambos")+COUNTIFS('Entrega'!$B$6:$B$9,$A6,'Entrega'!$E$6:$E$9,"Diego")+COUNTIFS('Entrega'!$B$6:$B$9,$A6,'Entrega'!$E$6:$E$9,"Ambos")+COUNTIFS('Defensa'!$B$6:$B$10,$A6,'Defensa'!$E$6:$E$10,"Diego")+COUNTIFS('Defensa'!$B$6:$B$10,$A6,'Defensa'!$E$6:$E$10,"Ambos")</f>
        <v/>
      </c>
    </row>
    <row r="7">
      <c r="A7" s="25" t="n">
        <v>46309</v>
      </c>
      <c r="B7" s="26">
        <f>A7</f>
        <v/>
      </c>
      <c r="C7" s="21">
        <f>IF(WEEKDAY(A7,2)&gt;5,4,2)</f>
        <v/>
      </c>
      <c r="D7" s="21">
        <f>SUMIFS('S1'!$I$6:$I$32,'S1'!$B$6:$B$32,$A7,'S1'!$E$6:$E$32,"Víctor")+SUMIFS('S1'!$I$6:$I$32,'S1'!$B$6:$B$32,$A7,'S1'!$E$6:$E$32,"Ambos")+SUMIFS('S2'!$I$6:$I$23,'S2'!$B$6:$B$23,$A7,'S2'!$E$6:$E$23,"Víctor")+SUMIFS('S2'!$I$6:$I$23,'S2'!$B$6:$B$23,$A7,'S2'!$E$6:$E$23,"Ambos")+SUMIFS('S3'!$I$6:$I$24,'S3'!$B$6:$B$24,$A7,'S3'!$E$6:$E$24,"Víctor")+SUMIFS('S3'!$I$6:$I$24,'S3'!$B$6:$B$24,$A7,'S3'!$E$6:$E$24,"Ambos")+SUMIFS('S4'!$I$6:$I$22,'S4'!$B$6:$B$22,$A7,'S4'!$E$6:$E$22,"Víctor")+SUMIFS('S4'!$I$6:$I$22,'S4'!$B$6:$B$22,$A7,'S4'!$E$6:$E$22,"Ambos")+SUMIFS('S5'!$I$6:$I$20,'S5'!$B$6:$B$20,$A7,'S5'!$E$6:$E$20,"Víctor")+SUMIFS('S5'!$I$6:$I$20,'S5'!$B$6:$B$20,$A7,'S5'!$E$6:$E$20,"Ambos")+SUMIFS('S6'!$I$6:$I$17,'S6'!$B$6:$B$17,$A7,'S6'!$E$6:$E$17,"Víctor")+SUMIFS('S6'!$I$6:$I$17,'S6'!$B$6:$B$17,$A7,'S6'!$E$6:$E$17,"Ambos")+SUMIFS('S7'!$I$6:$I$19,'S7'!$B$6:$B$19,$A7,'S7'!$E$6:$E$19,"Víctor")+SUMIFS('S7'!$I$6:$I$19,'S7'!$B$6:$B$19,$A7,'S7'!$E$6:$E$19,"Ambos")+SUMIFS('S8'!$I$6:$I$23,'S8'!$B$6:$B$23,$A7,'S8'!$E$6:$E$23,"Víctor")+SUMIFS('S8'!$I$6:$I$23,'S8'!$B$6:$B$23,$A7,'S8'!$E$6:$E$23,"Ambos")+SUMIFS('S9'!$I$6:$I$15,'S9'!$B$6:$B$15,$A7,'S9'!$E$6:$E$15,"Víctor")+SUMIFS('S9'!$I$6:$I$15,'S9'!$B$6:$B$15,$A7,'S9'!$E$6:$E$15,"Ambos")+SUMIFS('S10'!$I$6:$I$13,'S10'!$B$6:$B$13,$A7,'S10'!$E$6:$E$13,"Víctor")+SUMIFS('S10'!$I$6:$I$13,'S10'!$B$6:$B$13,$A7,'S10'!$E$6:$E$13,"Ambos")+SUMIFS('Holgura'!$I$6:$I$11,'Holgura'!$B$6:$B$11,$A7,'Holgura'!$E$6:$E$11,"Víctor")+SUMIFS('Holgura'!$I$6:$I$11,'Holgura'!$B$6:$B$11,$A7,'Holgura'!$E$6:$E$11,"Ambos")+SUMIFS('Entrega'!$I$6:$I$9,'Entrega'!$B$6:$B$9,$A7,'Entrega'!$E$6:$E$9,"Víctor")+SUMIFS('Entrega'!$I$6:$I$9,'Entrega'!$B$6:$B$9,$A7,'Entrega'!$E$6:$E$9,"Ambos")+SUMIFS('Defensa'!$I$6:$I$10,'Defensa'!$B$6:$B$10,$A7,'Defensa'!$E$6:$E$10,"Víctor")+SUMIFS('Defensa'!$I$6:$I$10,'Defensa'!$B$6:$B$10,$A7,'Defensa'!$E$6:$E$10,"Ambos")</f>
        <v/>
      </c>
      <c r="E7" s="21">
        <f>SUMIFS('S1'!$I$6:$I$32,'S1'!$B$6:$B$32,$A7,'S1'!$E$6:$E$32,"Diego")+SUMIFS('S1'!$I$6:$I$32,'S1'!$B$6:$B$32,$A7,'S1'!$E$6:$E$32,"Ambos")+SUMIFS('S2'!$I$6:$I$23,'S2'!$B$6:$B$23,$A7,'S2'!$E$6:$E$23,"Diego")+SUMIFS('S2'!$I$6:$I$23,'S2'!$B$6:$B$23,$A7,'S2'!$E$6:$E$23,"Ambos")+SUMIFS('S3'!$I$6:$I$24,'S3'!$B$6:$B$24,$A7,'S3'!$E$6:$E$24,"Diego")+SUMIFS('S3'!$I$6:$I$24,'S3'!$B$6:$B$24,$A7,'S3'!$E$6:$E$24,"Ambos")+SUMIFS('S4'!$I$6:$I$22,'S4'!$B$6:$B$22,$A7,'S4'!$E$6:$E$22,"Diego")+SUMIFS('S4'!$I$6:$I$22,'S4'!$B$6:$B$22,$A7,'S4'!$E$6:$E$22,"Ambos")+SUMIFS('S5'!$I$6:$I$20,'S5'!$B$6:$B$20,$A7,'S5'!$E$6:$E$20,"Diego")+SUMIFS('S5'!$I$6:$I$20,'S5'!$B$6:$B$20,$A7,'S5'!$E$6:$E$20,"Ambos")+SUMIFS('S6'!$I$6:$I$17,'S6'!$B$6:$B$17,$A7,'S6'!$E$6:$E$17,"Diego")+SUMIFS('S6'!$I$6:$I$17,'S6'!$B$6:$B$17,$A7,'S6'!$E$6:$E$17,"Ambos")+SUMIFS('S7'!$I$6:$I$19,'S7'!$B$6:$B$19,$A7,'S7'!$E$6:$E$19,"Diego")+SUMIFS('S7'!$I$6:$I$19,'S7'!$B$6:$B$19,$A7,'S7'!$E$6:$E$19,"Ambos")+SUMIFS('S8'!$I$6:$I$23,'S8'!$B$6:$B$23,$A7,'S8'!$E$6:$E$23,"Diego")+SUMIFS('S8'!$I$6:$I$23,'S8'!$B$6:$B$23,$A7,'S8'!$E$6:$E$23,"Ambos")+SUMIFS('S9'!$I$6:$I$15,'S9'!$B$6:$B$15,$A7,'S9'!$E$6:$E$15,"Diego")+SUMIFS('S9'!$I$6:$I$15,'S9'!$B$6:$B$15,$A7,'S9'!$E$6:$E$15,"Ambos")+SUMIFS('S10'!$I$6:$I$13,'S10'!$B$6:$B$13,$A7,'S10'!$E$6:$E$13,"Diego")+SUMIFS('S10'!$I$6:$I$13,'S10'!$B$6:$B$13,$A7,'S10'!$E$6:$E$13,"Ambos")+SUMIFS('Holgura'!$I$6:$I$11,'Holgura'!$B$6:$B$11,$A7,'Holgura'!$E$6:$E$11,"Diego")+SUMIFS('Holgura'!$I$6:$I$11,'Holgura'!$B$6:$B$11,$A7,'Holgura'!$E$6:$E$11,"Ambos")+SUMIFS('Entrega'!$I$6:$I$9,'Entrega'!$B$6:$B$9,$A7,'Entrega'!$E$6:$E$9,"Diego")+SUMIFS('Entrega'!$I$6:$I$9,'Entrega'!$B$6:$B$9,$A7,'Entrega'!$E$6:$E$9,"Ambos")+SUMIFS('Defensa'!$I$6:$I$10,'Defensa'!$B$6:$B$10,$A7,'Defensa'!$E$6:$E$10,"Diego")+SUMIFS('Defensa'!$I$6:$I$10,'Defensa'!$B$6:$B$10,$A7,'Defensa'!$E$6:$E$10,"Ambos")</f>
        <v/>
      </c>
      <c r="F7" s="21">
        <f>COUNTIFS('S1'!$B$6:$B$32,$A7,'S1'!$E$6:$E$32,"Víctor")+COUNTIFS('S1'!$B$6:$B$32,$A7,'S1'!$E$6:$E$32,"Ambos")+COUNTIFS('S2'!$B$6:$B$23,$A7,'S2'!$E$6:$E$23,"Víctor")+COUNTIFS('S2'!$B$6:$B$23,$A7,'S2'!$E$6:$E$23,"Ambos")+COUNTIFS('S3'!$B$6:$B$24,$A7,'S3'!$E$6:$E$24,"Víctor")+COUNTIFS('S3'!$B$6:$B$24,$A7,'S3'!$E$6:$E$24,"Ambos")+COUNTIFS('S4'!$B$6:$B$22,$A7,'S4'!$E$6:$E$22,"Víctor")+COUNTIFS('S4'!$B$6:$B$22,$A7,'S4'!$E$6:$E$22,"Ambos")+COUNTIFS('S5'!$B$6:$B$20,$A7,'S5'!$E$6:$E$20,"Víctor")+COUNTIFS('S5'!$B$6:$B$20,$A7,'S5'!$E$6:$E$20,"Ambos")+COUNTIFS('S6'!$B$6:$B$17,$A7,'S6'!$E$6:$E$17,"Víctor")+COUNTIFS('S6'!$B$6:$B$17,$A7,'S6'!$E$6:$E$17,"Ambos")+COUNTIFS('S7'!$B$6:$B$19,$A7,'S7'!$E$6:$E$19,"Víctor")+COUNTIFS('S7'!$B$6:$B$19,$A7,'S7'!$E$6:$E$19,"Ambos")+COUNTIFS('S8'!$B$6:$B$23,$A7,'S8'!$E$6:$E$23,"Víctor")+COUNTIFS('S8'!$B$6:$B$23,$A7,'S8'!$E$6:$E$23,"Ambos")+COUNTIFS('S9'!$B$6:$B$15,$A7,'S9'!$E$6:$E$15,"Víctor")+COUNTIFS('S9'!$B$6:$B$15,$A7,'S9'!$E$6:$E$15,"Ambos")+COUNTIFS('S10'!$B$6:$B$13,$A7,'S10'!$E$6:$E$13,"Víctor")+COUNTIFS('S10'!$B$6:$B$13,$A7,'S10'!$E$6:$E$13,"Ambos")+COUNTIFS('Holgura'!$B$6:$B$11,$A7,'Holgura'!$E$6:$E$11,"Víctor")+COUNTIFS('Holgura'!$B$6:$B$11,$A7,'Holgura'!$E$6:$E$11,"Ambos")+COUNTIFS('Entrega'!$B$6:$B$9,$A7,'Entrega'!$E$6:$E$9,"Víctor")+COUNTIFS('Entrega'!$B$6:$B$9,$A7,'Entrega'!$E$6:$E$9,"Ambos")+COUNTIFS('Defensa'!$B$6:$B$10,$A7,'Defensa'!$E$6:$E$10,"Víctor")+COUNTIFS('Defensa'!$B$6:$B$10,$A7,'Defensa'!$E$6:$E$10,"Ambos")</f>
        <v/>
      </c>
      <c r="G7" s="21">
        <f>COUNTIFS('S1'!$B$6:$B$32,$A7,'S1'!$E$6:$E$32,"Diego")+COUNTIFS('S1'!$B$6:$B$32,$A7,'S1'!$E$6:$E$32,"Ambos")+COUNTIFS('S2'!$B$6:$B$23,$A7,'S2'!$E$6:$E$23,"Diego")+COUNTIFS('S2'!$B$6:$B$23,$A7,'S2'!$E$6:$E$23,"Ambos")+COUNTIFS('S3'!$B$6:$B$24,$A7,'S3'!$E$6:$E$24,"Diego")+COUNTIFS('S3'!$B$6:$B$24,$A7,'S3'!$E$6:$E$24,"Ambos")+COUNTIFS('S4'!$B$6:$B$22,$A7,'S4'!$E$6:$E$22,"Diego")+COUNTIFS('S4'!$B$6:$B$22,$A7,'S4'!$E$6:$E$22,"Ambos")+COUNTIFS('S5'!$B$6:$B$20,$A7,'S5'!$E$6:$E$20,"Diego")+COUNTIFS('S5'!$B$6:$B$20,$A7,'S5'!$E$6:$E$20,"Ambos")+COUNTIFS('S6'!$B$6:$B$17,$A7,'S6'!$E$6:$E$17,"Diego")+COUNTIFS('S6'!$B$6:$B$17,$A7,'S6'!$E$6:$E$17,"Ambos")+COUNTIFS('S7'!$B$6:$B$19,$A7,'S7'!$E$6:$E$19,"Diego")+COUNTIFS('S7'!$B$6:$B$19,$A7,'S7'!$E$6:$E$19,"Ambos")+COUNTIFS('S8'!$B$6:$B$23,$A7,'S8'!$E$6:$E$23,"Diego")+COUNTIFS('S8'!$B$6:$B$23,$A7,'S8'!$E$6:$E$23,"Ambos")+COUNTIFS('S9'!$B$6:$B$15,$A7,'S9'!$E$6:$E$15,"Diego")+COUNTIFS('S9'!$B$6:$B$15,$A7,'S9'!$E$6:$E$15,"Ambos")+COUNTIFS('S10'!$B$6:$B$13,$A7,'S10'!$E$6:$E$13,"Diego")+COUNTIFS('S10'!$B$6:$B$13,$A7,'S10'!$E$6:$E$13,"Ambos")+COUNTIFS('Holgura'!$B$6:$B$11,$A7,'Holgura'!$E$6:$E$11,"Diego")+COUNTIFS('Holgura'!$B$6:$B$11,$A7,'Holgura'!$E$6:$E$11,"Ambos")+COUNTIFS('Entrega'!$B$6:$B$9,$A7,'Entrega'!$E$6:$E$9,"Diego")+COUNTIFS('Entrega'!$B$6:$B$9,$A7,'Entrega'!$E$6:$E$9,"Ambos")+COUNTIFS('Defensa'!$B$6:$B$10,$A7,'Defensa'!$E$6:$E$10,"Diego")+COUNTIFS('Defensa'!$B$6:$B$10,$A7,'Defensa'!$E$6:$E$10,"Ambos")</f>
        <v/>
      </c>
    </row>
    <row r="8">
      <c r="A8" s="25" t="n">
        <v>46310</v>
      </c>
      <c r="B8" s="26">
        <f>A8</f>
        <v/>
      </c>
      <c r="C8" s="21">
        <f>IF(WEEKDAY(A8,2)&gt;5,4,2)</f>
        <v/>
      </c>
      <c r="D8" s="21">
        <f>SUMIFS('S1'!$I$6:$I$32,'S1'!$B$6:$B$32,$A8,'S1'!$E$6:$E$32,"Víctor")+SUMIFS('S1'!$I$6:$I$32,'S1'!$B$6:$B$32,$A8,'S1'!$E$6:$E$32,"Ambos")+SUMIFS('S2'!$I$6:$I$23,'S2'!$B$6:$B$23,$A8,'S2'!$E$6:$E$23,"Víctor")+SUMIFS('S2'!$I$6:$I$23,'S2'!$B$6:$B$23,$A8,'S2'!$E$6:$E$23,"Ambos")+SUMIFS('S3'!$I$6:$I$24,'S3'!$B$6:$B$24,$A8,'S3'!$E$6:$E$24,"Víctor")+SUMIFS('S3'!$I$6:$I$24,'S3'!$B$6:$B$24,$A8,'S3'!$E$6:$E$24,"Ambos")+SUMIFS('S4'!$I$6:$I$22,'S4'!$B$6:$B$22,$A8,'S4'!$E$6:$E$22,"Víctor")+SUMIFS('S4'!$I$6:$I$22,'S4'!$B$6:$B$22,$A8,'S4'!$E$6:$E$22,"Ambos")+SUMIFS('S5'!$I$6:$I$20,'S5'!$B$6:$B$20,$A8,'S5'!$E$6:$E$20,"Víctor")+SUMIFS('S5'!$I$6:$I$20,'S5'!$B$6:$B$20,$A8,'S5'!$E$6:$E$20,"Ambos")+SUMIFS('S6'!$I$6:$I$17,'S6'!$B$6:$B$17,$A8,'S6'!$E$6:$E$17,"Víctor")+SUMIFS('S6'!$I$6:$I$17,'S6'!$B$6:$B$17,$A8,'S6'!$E$6:$E$17,"Ambos")+SUMIFS('S7'!$I$6:$I$19,'S7'!$B$6:$B$19,$A8,'S7'!$E$6:$E$19,"Víctor")+SUMIFS('S7'!$I$6:$I$19,'S7'!$B$6:$B$19,$A8,'S7'!$E$6:$E$19,"Ambos")+SUMIFS('S8'!$I$6:$I$23,'S8'!$B$6:$B$23,$A8,'S8'!$E$6:$E$23,"Víctor")+SUMIFS('S8'!$I$6:$I$23,'S8'!$B$6:$B$23,$A8,'S8'!$E$6:$E$23,"Ambos")+SUMIFS('S9'!$I$6:$I$15,'S9'!$B$6:$B$15,$A8,'S9'!$E$6:$E$15,"Víctor")+SUMIFS('S9'!$I$6:$I$15,'S9'!$B$6:$B$15,$A8,'S9'!$E$6:$E$15,"Ambos")+SUMIFS('S10'!$I$6:$I$13,'S10'!$B$6:$B$13,$A8,'S10'!$E$6:$E$13,"Víctor")+SUMIFS('S10'!$I$6:$I$13,'S10'!$B$6:$B$13,$A8,'S10'!$E$6:$E$13,"Ambos")+SUMIFS('Holgura'!$I$6:$I$11,'Holgura'!$B$6:$B$11,$A8,'Holgura'!$E$6:$E$11,"Víctor")+SUMIFS('Holgura'!$I$6:$I$11,'Holgura'!$B$6:$B$11,$A8,'Holgura'!$E$6:$E$11,"Ambos")+SUMIFS('Entrega'!$I$6:$I$9,'Entrega'!$B$6:$B$9,$A8,'Entrega'!$E$6:$E$9,"Víctor")+SUMIFS('Entrega'!$I$6:$I$9,'Entrega'!$B$6:$B$9,$A8,'Entrega'!$E$6:$E$9,"Ambos")+SUMIFS('Defensa'!$I$6:$I$10,'Defensa'!$B$6:$B$10,$A8,'Defensa'!$E$6:$E$10,"Víctor")+SUMIFS('Defensa'!$I$6:$I$10,'Defensa'!$B$6:$B$10,$A8,'Defensa'!$E$6:$E$10,"Ambos")</f>
        <v/>
      </c>
      <c r="E8" s="21">
        <f>SUMIFS('S1'!$I$6:$I$32,'S1'!$B$6:$B$32,$A8,'S1'!$E$6:$E$32,"Diego")+SUMIFS('S1'!$I$6:$I$32,'S1'!$B$6:$B$32,$A8,'S1'!$E$6:$E$32,"Ambos")+SUMIFS('S2'!$I$6:$I$23,'S2'!$B$6:$B$23,$A8,'S2'!$E$6:$E$23,"Diego")+SUMIFS('S2'!$I$6:$I$23,'S2'!$B$6:$B$23,$A8,'S2'!$E$6:$E$23,"Ambos")+SUMIFS('S3'!$I$6:$I$24,'S3'!$B$6:$B$24,$A8,'S3'!$E$6:$E$24,"Diego")+SUMIFS('S3'!$I$6:$I$24,'S3'!$B$6:$B$24,$A8,'S3'!$E$6:$E$24,"Ambos")+SUMIFS('S4'!$I$6:$I$22,'S4'!$B$6:$B$22,$A8,'S4'!$E$6:$E$22,"Diego")+SUMIFS('S4'!$I$6:$I$22,'S4'!$B$6:$B$22,$A8,'S4'!$E$6:$E$22,"Ambos")+SUMIFS('S5'!$I$6:$I$20,'S5'!$B$6:$B$20,$A8,'S5'!$E$6:$E$20,"Diego")+SUMIFS('S5'!$I$6:$I$20,'S5'!$B$6:$B$20,$A8,'S5'!$E$6:$E$20,"Ambos")+SUMIFS('S6'!$I$6:$I$17,'S6'!$B$6:$B$17,$A8,'S6'!$E$6:$E$17,"Diego")+SUMIFS('S6'!$I$6:$I$17,'S6'!$B$6:$B$17,$A8,'S6'!$E$6:$E$17,"Ambos")+SUMIFS('S7'!$I$6:$I$19,'S7'!$B$6:$B$19,$A8,'S7'!$E$6:$E$19,"Diego")+SUMIFS('S7'!$I$6:$I$19,'S7'!$B$6:$B$19,$A8,'S7'!$E$6:$E$19,"Ambos")+SUMIFS('S8'!$I$6:$I$23,'S8'!$B$6:$B$23,$A8,'S8'!$E$6:$E$23,"Diego")+SUMIFS('S8'!$I$6:$I$23,'S8'!$B$6:$B$23,$A8,'S8'!$E$6:$E$23,"Ambos")+SUMIFS('S9'!$I$6:$I$15,'S9'!$B$6:$B$15,$A8,'S9'!$E$6:$E$15,"Diego")+SUMIFS('S9'!$I$6:$I$15,'S9'!$B$6:$B$15,$A8,'S9'!$E$6:$E$15,"Ambos")+SUMIFS('S10'!$I$6:$I$13,'S10'!$B$6:$B$13,$A8,'S10'!$E$6:$E$13,"Diego")+SUMIFS('S10'!$I$6:$I$13,'S10'!$B$6:$B$13,$A8,'S10'!$E$6:$E$13,"Ambos")+SUMIFS('Holgura'!$I$6:$I$11,'Holgura'!$B$6:$B$11,$A8,'Holgura'!$E$6:$E$11,"Diego")+SUMIFS('Holgura'!$I$6:$I$11,'Holgura'!$B$6:$B$11,$A8,'Holgura'!$E$6:$E$11,"Ambos")+SUMIFS('Entrega'!$I$6:$I$9,'Entrega'!$B$6:$B$9,$A8,'Entrega'!$E$6:$E$9,"Diego")+SUMIFS('Entrega'!$I$6:$I$9,'Entrega'!$B$6:$B$9,$A8,'Entrega'!$E$6:$E$9,"Ambos")+SUMIFS('Defensa'!$I$6:$I$10,'Defensa'!$B$6:$B$10,$A8,'Defensa'!$E$6:$E$10,"Diego")+SUMIFS('Defensa'!$I$6:$I$10,'Defensa'!$B$6:$B$10,$A8,'Defensa'!$E$6:$E$10,"Ambos")</f>
        <v/>
      </c>
      <c r="F8" s="21">
        <f>COUNTIFS('S1'!$B$6:$B$32,$A8,'S1'!$E$6:$E$32,"Víctor")+COUNTIFS('S1'!$B$6:$B$32,$A8,'S1'!$E$6:$E$32,"Ambos")+COUNTIFS('S2'!$B$6:$B$23,$A8,'S2'!$E$6:$E$23,"Víctor")+COUNTIFS('S2'!$B$6:$B$23,$A8,'S2'!$E$6:$E$23,"Ambos")+COUNTIFS('S3'!$B$6:$B$24,$A8,'S3'!$E$6:$E$24,"Víctor")+COUNTIFS('S3'!$B$6:$B$24,$A8,'S3'!$E$6:$E$24,"Ambos")+COUNTIFS('S4'!$B$6:$B$22,$A8,'S4'!$E$6:$E$22,"Víctor")+COUNTIFS('S4'!$B$6:$B$22,$A8,'S4'!$E$6:$E$22,"Ambos")+COUNTIFS('S5'!$B$6:$B$20,$A8,'S5'!$E$6:$E$20,"Víctor")+COUNTIFS('S5'!$B$6:$B$20,$A8,'S5'!$E$6:$E$20,"Ambos")+COUNTIFS('S6'!$B$6:$B$17,$A8,'S6'!$E$6:$E$17,"Víctor")+COUNTIFS('S6'!$B$6:$B$17,$A8,'S6'!$E$6:$E$17,"Ambos")+COUNTIFS('S7'!$B$6:$B$19,$A8,'S7'!$E$6:$E$19,"Víctor")+COUNTIFS('S7'!$B$6:$B$19,$A8,'S7'!$E$6:$E$19,"Ambos")+COUNTIFS('S8'!$B$6:$B$23,$A8,'S8'!$E$6:$E$23,"Víctor")+COUNTIFS('S8'!$B$6:$B$23,$A8,'S8'!$E$6:$E$23,"Ambos")+COUNTIFS('S9'!$B$6:$B$15,$A8,'S9'!$E$6:$E$15,"Víctor")+COUNTIFS('S9'!$B$6:$B$15,$A8,'S9'!$E$6:$E$15,"Ambos")+COUNTIFS('S10'!$B$6:$B$13,$A8,'S10'!$E$6:$E$13,"Víctor")+COUNTIFS('S10'!$B$6:$B$13,$A8,'S10'!$E$6:$E$13,"Ambos")+COUNTIFS('Holgura'!$B$6:$B$11,$A8,'Holgura'!$E$6:$E$11,"Víctor")+COUNTIFS('Holgura'!$B$6:$B$11,$A8,'Holgura'!$E$6:$E$11,"Ambos")+COUNTIFS('Entrega'!$B$6:$B$9,$A8,'Entrega'!$E$6:$E$9,"Víctor")+COUNTIFS('Entrega'!$B$6:$B$9,$A8,'Entrega'!$E$6:$E$9,"Ambos")+COUNTIFS('Defensa'!$B$6:$B$10,$A8,'Defensa'!$E$6:$E$10,"Víctor")+COUNTIFS('Defensa'!$B$6:$B$10,$A8,'Defensa'!$E$6:$E$10,"Ambos")</f>
        <v/>
      </c>
      <c r="G8" s="21">
        <f>COUNTIFS('S1'!$B$6:$B$32,$A8,'S1'!$E$6:$E$32,"Diego")+COUNTIFS('S1'!$B$6:$B$32,$A8,'S1'!$E$6:$E$32,"Ambos")+COUNTIFS('S2'!$B$6:$B$23,$A8,'S2'!$E$6:$E$23,"Diego")+COUNTIFS('S2'!$B$6:$B$23,$A8,'S2'!$E$6:$E$23,"Ambos")+COUNTIFS('S3'!$B$6:$B$24,$A8,'S3'!$E$6:$E$24,"Diego")+COUNTIFS('S3'!$B$6:$B$24,$A8,'S3'!$E$6:$E$24,"Ambos")+COUNTIFS('S4'!$B$6:$B$22,$A8,'S4'!$E$6:$E$22,"Diego")+COUNTIFS('S4'!$B$6:$B$22,$A8,'S4'!$E$6:$E$22,"Ambos")+COUNTIFS('S5'!$B$6:$B$20,$A8,'S5'!$E$6:$E$20,"Diego")+COUNTIFS('S5'!$B$6:$B$20,$A8,'S5'!$E$6:$E$20,"Ambos")+COUNTIFS('S6'!$B$6:$B$17,$A8,'S6'!$E$6:$E$17,"Diego")+COUNTIFS('S6'!$B$6:$B$17,$A8,'S6'!$E$6:$E$17,"Ambos")+COUNTIFS('S7'!$B$6:$B$19,$A8,'S7'!$E$6:$E$19,"Diego")+COUNTIFS('S7'!$B$6:$B$19,$A8,'S7'!$E$6:$E$19,"Ambos")+COUNTIFS('S8'!$B$6:$B$23,$A8,'S8'!$E$6:$E$23,"Diego")+COUNTIFS('S8'!$B$6:$B$23,$A8,'S8'!$E$6:$E$23,"Ambos")+COUNTIFS('S9'!$B$6:$B$15,$A8,'S9'!$E$6:$E$15,"Diego")+COUNTIFS('S9'!$B$6:$B$15,$A8,'S9'!$E$6:$E$15,"Ambos")+COUNTIFS('S10'!$B$6:$B$13,$A8,'S10'!$E$6:$E$13,"Diego")+COUNTIFS('S10'!$B$6:$B$13,$A8,'S10'!$E$6:$E$13,"Ambos")+COUNTIFS('Holgura'!$B$6:$B$11,$A8,'Holgura'!$E$6:$E$11,"Diego")+COUNTIFS('Holgura'!$B$6:$B$11,$A8,'Holgura'!$E$6:$E$11,"Ambos")+COUNTIFS('Entrega'!$B$6:$B$9,$A8,'Entrega'!$E$6:$E$9,"Diego")+COUNTIFS('Entrega'!$B$6:$B$9,$A8,'Entrega'!$E$6:$E$9,"Ambos")+COUNTIFS('Defensa'!$B$6:$B$10,$A8,'Defensa'!$E$6:$E$10,"Diego")+COUNTIFS('Defensa'!$B$6:$B$10,$A8,'Defensa'!$E$6:$E$10,"Ambos")</f>
        <v/>
      </c>
    </row>
    <row r="9">
      <c r="A9" s="25" t="n">
        <v>46311</v>
      </c>
      <c r="B9" s="26">
        <f>A9</f>
        <v/>
      </c>
      <c r="C9" s="21">
        <f>IF(WEEKDAY(A9,2)&gt;5,4,2)</f>
        <v/>
      </c>
      <c r="D9" s="21">
        <f>SUMIFS('S1'!$I$6:$I$32,'S1'!$B$6:$B$32,$A9,'S1'!$E$6:$E$32,"Víctor")+SUMIFS('S1'!$I$6:$I$32,'S1'!$B$6:$B$32,$A9,'S1'!$E$6:$E$32,"Ambos")+SUMIFS('S2'!$I$6:$I$23,'S2'!$B$6:$B$23,$A9,'S2'!$E$6:$E$23,"Víctor")+SUMIFS('S2'!$I$6:$I$23,'S2'!$B$6:$B$23,$A9,'S2'!$E$6:$E$23,"Ambos")+SUMIFS('S3'!$I$6:$I$24,'S3'!$B$6:$B$24,$A9,'S3'!$E$6:$E$24,"Víctor")+SUMIFS('S3'!$I$6:$I$24,'S3'!$B$6:$B$24,$A9,'S3'!$E$6:$E$24,"Ambos")+SUMIFS('S4'!$I$6:$I$22,'S4'!$B$6:$B$22,$A9,'S4'!$E$6:$E$22,"Víctor")+SUMIFS('S4'!$I$6:$I$22,'S4'!$B$6:$B$22,$A9,'S4'!$E$6:$E$22,"Ambos")+SUMIFS('S5'!$I$6:$I$20,'S5'!$B$6:$B$20,$A9,'S5'!$E$6:$E$20,"Víctor")+SUMIFS('S5'!$I$6:$I$20,'S5'!$B$6:$B$20,$A9,'S5'!$E$6:$E$20,"Ambos")+SUMIFS('S6'!$I$6:$I$17,'S6'!$B$6:$B$17,$A9,'S6'!$E$6:$E$17,"Víctor")+SUMIFS('S6'!$I$6:$I$17,'S6'!$B$6:$B$17,$A9,'S6'!$E$6:$E$17,"Ambos")+SUMIFS('S7'!$I$6:$I$19,'S7'!$B$6:$B$19,$A9,'S7'!$E$6:$E$19,"Víctor")+SUMIFS('S7'!$I$6:$I$19,'S7'!$B$6:$B$19,$A9,'S7'!$E$6:$E$19,"Ambos")+SUMIFS('S8'!$I$6:$I$23,'S8'!$B$6:$B$23,$A9,'S8'!$E$6:$E$23,"Víctor")+SUMIFS('S8'!$I$6:$I$23,'S8'!$B$6:$B$23,$A9,'S8'!$E$6:$E$23,"Ambos")+SUMIFS('S9'!$I$6:$I$15,'S9'!$B$6:$B$15,$A9,'S9'!$E$6:$E$15,"Víctor")+SUMIFS('S9'!$I$6:$I$15,'S9'!$B$6:$B$15,$A9,'S9'!$E$6:$E$15,"Ambos")+SUMIFS('S10'!$I$6:$I$13,'S10'!$B$6:$B$13,$A9,'S10'!$E$6:$E$13,"Víctor")+SUMIFS('S10'!$I$6:$I$13,'S10'!$B$6:$B$13,$A9,'S10'!$E$6:$E$13,"Ambos")+SUMIFS('Holgura'!$I$6:$I$11,'Holgura'!$B$6:$B$11,$A9,'Holgura'!$E$6:$E$11,"Víctor")+SUMIFS('Holgura'!$I$6:$I$11,'Holgura'!$B$6:$B$11,$A9,'Holgura'!$E$6:$E$11,"Ambos")+SUMIFS('Entrega'!$I$6:$I$9,'Entrega'!$B$6:$B$9,$A9,'Entrega'!$E$6:$E$9,"Víctor")+SUMIFS('Entrega'!$I$6:$I$9,'Entrega'!$B$6:$B$9,$A9,'Entrega'!$E$6:$E$9,"Ambos")+SUMIFS('Defensa'!$I$6:$I$10,'Defensa'!$B$6:$B$10,$A9,'Defensa'!$E$6:$E$10,"Víctor")+SUMIFS('Defensa'!$I$6:$I$10,'Defensa'!$B$6:$B$10,$A9,'Defensa'!$E$6:$E$10,"Ambos")</f>
        <v/>
      </c>
      <c r="E9" s="21">
        <f>SUMIFS('S1'!$I$6:$I$32,'S1'!$B$6:$B$32,$A9,'S1'!$E$6:$E$32,"Diego")+SUMIFS('S1'!$I$6:$I$32,'S1'!$B$6:$B$32,$A9,'S1'!$E$6:$E$32,"Ambos")+SUMIFS('S2'!$I$6:$I$23,'S2'!$B$6:$B$23,$A9,'S2'!$E$6:$E$23,"Diego")+SUMIFS('S2'!$I$6:$I$23,'S2'!$B$6:$B$23,$A9,'S2'!$E$6:$E$23,"Ambos")+SUMIFS('S3'!$I$6:$I$24,'S3'!$B$6:$B$24,$A9,'S3'!$E$6:$E$24,"Diego")+SUMIFS('S3'!$I$6:$I$24,'S3'!$B$6:$B$24,$A9,'S3'!$E$6:$E$24,"Ambos")+SUMIFS('S4'!$I$6:$I$22,'S4'!$B$6:$B$22,$A9,'S4'!$E$6:$E$22,"Diego")+SUMIFS('S4'!$I$6:$I$22,'S4'!$B$6:$B$22,$A9,'S4'!$E$6:$E$22,"Ambos")+SUMIFS('S5'!$I$6:$I$20,'S5'!$B$6:$B$20,$A9,'S5'!$E$6:$E$20,"Diego")+SUMIFS('S5'!$I$6:$I$20,'S5'!$B$6:$B$20,$A9,'S5'!$E$6:$E$20,"Ambos")+SUMIFS('S6'!$I$6:$I$17,'S6'!$B$6:$B$17,$A9,'S6'!$E$6:$E$17,"Diego")+SUMIFS('S6'!$I$6:$I$17,'S6'!$B$6:$B$17,$A9,'S6'!$E$6:$E$17,"Ambos")+SUMIFS('S7'!$I$6:$I$19,'S7'!$B$6:$B$19,$A9,'S7'!$E$6:$E$19,"Diego")+SUMIFS('S7'!$I$6:$I$19,'S7'!$B$6:$B$19,$A9,'S7'!$E$6:$E$19,"Ambos")+SUMIFS('S8'!$I$6:$I$23,'S8'!$B$6:$B$23,$A9,'S8'!$E$6:$E$23,"Diego")+SUMIFS('S8'!$I$6:$I$23,'S8'!$B$6:$B$23,$A9,'S8'!$E$6:$E$23,"Ambos")+SUMIFS('S9'!$I$6:$I$15,'S9'!$B$6:$B$15,$A9,'S9'!$E$6:$E$15,"Diego")+SUMIFS('S9'!$I$6:$I$15,'S9'!$B$6:$B$15,$A9,'S9'!$E$6:$E$15,"Ambos")+SUMIFS('S10'!$I$6:$I$13,'S10'!$B$6:$B$13,$A9,'S10'!$E$6:$E$13,"Diego")+SUMIFS('S10'!$I$6:$I$13,'S10'!$B$6:$B$13,$A9,'S10'!$E$6:$E$13,"Ambos")+SUMIFS('Holgura'!$I$6:$I$11,'Holgura'!$B$6:$B$11,$A9,'Holgura'!$E$6:$E$11,"Diego")+SUMIFS('Holgura'!$I$6:$I$11,'Holgura'!$B$6:$B$11,$A9,'Holgura'!$E$6:$E$11,"Ambos")+SUMIFS('Entrega'!$I$6:$I$9,'Entrega'!$B$6:$B$9,$A9,'Entrega'!$E$6:$E$9,"Diego")+SUMIFS('Entrega'!$I$6:$I$9,'Entrega'!$B$6:$B$9,$A9,'Entrega'!$E$6:$E$9,"Ambos")+SUMIFS('Defensa'!$I$6:$I$10,'Defensa'!$B$6:$B$10,$A9,'Defensa'!$E$6:$E$10,"Diego")+SUMIFS('Defensa'!$I$6:$I$10,'Defensa'!$B$6:$B$10,$A9,'Defensa'!$E$6:$E$10,"Ambos")</f>
        <v/>
      </c>
      <c r="F9" s="21">
        <f>COUNTIFS('S1'!$B$6:$B$32,$A9,'S1'!$E$6:$E$32,"Víctor")+COUNTIFS('S1'!$B$6:$B$32,$A9,'S1'!$E$6:$E$32,"Ambos")+COUNTIFS('S2'!$B$6:$B$23,$A9,'S2'!$E$6:$E$23,"Víctor")+COUNTIFS('S2'!$B$6:$B$23,$A9,'S2'!$E$6:$E$23,"Ambos")+COUNTIFS('S3'!$B$6:$B$24,$A9,'S3'!$E$6:$E$24,"Víctor")+COUNTIFS('S3'!$B$6:$B$24,$A9,'S3'!$E$6:$E$24,"Ambos")+COUNTIFS('S4'!$B$6:$B$22,$A9,'S4'!$E$6:$E$22,"Víctor")+COUNTIFS('S4'!$B$6:$B$22,$A9,'S4'!$E$6:$E$22,"Ambos")+COUNTIFS('S5'!$B$6:$B$20,$A9,'S5'!$E$6:$E$20,"Víctor")+COUNTIFS('S5'!$B$6:$B$20,$A9,'S5'!$E$6:$E$20,"Ambos")+COUNTIFS('S6'!$B$6:$B$17,$A9,'S6'!$E$6:$E$17,"Víctor")+COUNTIFS('S6'!$B$6:$B$17,$A9,'S6'!$E$6:$E$17,"Ambos")+COUNTIFS('S7'!$B$6:$B$19,$A9,'S7'!$E$6:$E$19,"Víctor")+COUNTIFS('S7'!$B$6:$B$19,$A9,'S7'!$E$6:$E$19,"Ambos")+COUNTIFS('S8'!$B$6:$B$23,$A9,'S8'!$E$6:$E$23,"Víctor")+COUNTIFS('S8'!$B$6:$B$23,$A9,'S8'!$E$6:$E$23,"Ambos")+COUNTIFS('S9'!$B$6:$B$15,$A9,'S9'!$E$6:$E$15,"Víctor")+COUNTIFS('S9'!$B$6:$B$15,$A9,'S9'!$E$6:$E$15,"Ambos")+COUNTIFS('S10'!$B$6:$B$13,$A9,'S10'!$E$6:$E$13,"Víctor")+COUNTIFS('S10'!$B$6:$B$13,$A9,'S10'!$E$6:$E$13,"Ambos")+COUNTIFS('Holgura'!$B$6:$B$11,$A9,'Holgura'!$E$6:$E$11,"Víctor")+COUNTIFS('Holgura'!$B$6:$B$11,$A9,'Holgura'!$E$6:$E$11,"Ambos")+COUNTIFS('Entrega'!$B$6:$B$9,$A9,'Entrega'!$E$6:$E$9,"Víctor")+COUNTIFS('Entrega'!$B$6:$B$9,$A9,'Entrega'!$E$6:$E$9,"Ambos")+COUNTIFS('Defensa'!$B$6:$B$10,$A9,'Defensa'!$E$6:$E$10,"Víctor")+COUNTIFS('Defensa'!$B$6:$B$10,$A9,'Defensa'!$E$6:$E$10,"Ambos")</f>
        <v/>
      </c>
      <c r="G9" s="21">
        <f>COUNTIFS('S1'!$B$6:$B$32,$A9,'S1'!$E$6:$E$32,"Diego")+COUNTIFS('S1'!$B$6:$B$32,$A9,'S1'!$E$6:$E$32,"Ambos")+COUNTIFS('S2'!$B$6:$B$23,$A9,'S2'!$E$6:$E$23,"Diego")+COUNTIFS('S2'!$B$6:$B$23,$A9,'S2'!$E$6:$E$23,"Ambos")+COUNTIFS('S3'!$B$6:$B$24,$A9,'S3'!$E$6:$E$24,"Diego")+COUNTIFS('S3'!$B$6:$B$24,$A9,'S3'!$E$6:$E$24,"Ambos")+COUNTIFS('S4'!$B$6:$B$22,$A9,'S4'!$E$6:$E$22,"Diego")+COUNTIFS('S4'!$B$6:$B$22,$A9,'S4'!$E$6:$E$22,"Ambos")+COUNTIFS('S5'!$B$6:$B$20,$A9,'S5'!$E$6:$E$20,"Diego")+COUNTIFS('S5'!$B$6:$B$20,$A9,'S5'!$E$6:$E$20,"Ambos")+COUNTIFS('S6'!$B$6:$B$17,$A9,'S6'!$E$6:$E$17,"Diego")+COUNTIFS('S6'!$B$6:$B$17,$A9,'S6'!$E$6:$E$17,"Ambos")+COUNTIFS('S7'!$B$6:$B$19,$A9,'S7'!$E$6:$E$19,"Diego")+COUNTIFS('S7'!$B$6:$B$19,$A9,'S7'!$E$6:$E$19,"Ambos")+COUNTIFS('S8'!$B$6:$B$23,$A9,'S8'!$E$6:$E$23,"Diego")+COUNTIFS('S8'!$B$6:$B$23,$A9,'S8'!$E$6:$E$23,"Ambos")+COUNTIFS('S9'!$B$6:$B$15,$A9,'S9'!$E$6:$E$15,"Diego")+COUNTIFS('S9'!$B$6:$B$15,$A9,'S9'!$E$6:$E$15,"Ambos")+COUNTIFS('S10'!$B$6:$B$13,$A9,'S10'!$E$6:$E$13,"Diego")+COUNTIFS('S10'!$B$6:$B$13,$A9,'S10'!$E$6:$E$13,"Ambos")+COUNTIFS('Holgura'!$B$6:$B$11,$A9,'Holgura'!$E$6:$E$11,"Diego")+COUNTIFS('Holgura'!$B$6:$B$11,$A9,'Holgura'!$E$6:$E$11,"Ambos")+COUNTIFS('Entrega'!$B$6:$B$9,$A9,'Entrega'!$E$6:$E$9,"Diego")+COUNTIFS('Entrega'!$B$6:$B$9,$A9,'Entrega'!$E$6:$E$9,"Ambos")+COUNTIFS('Defensa'!$B$6:$B$10,$A9,'Defensa'!$E$6:$E$10,"Diego")+COUNTIFS('Defensa'!$B$6:$B$10,$A9,'Defensa'!$E$6:$E$10,"Ambos")</f>
        <v/>
      </c>
    </row>
    <row r="10">
      <c r="A10" s="25" t="n">
        <v>46312</v>
      </c>
      <c r="B10" s="26">
        <f>A10</f>
        <v/>
      </c>
      <c r="C10" s="21">
        <f>IF(WEEKDAY(A10,2)&gt;5,4,2)</f>
        <v/>
      </c>
      <c r="D10" s="21">
        <f>SUMIFS('S1'!$I$6:$I$32,'S1'!$B$6:$B$32,$A10,'S1'!$E$6:$E$32,"Víctor")+SUMIFS('S1'!$I$6:$I$32,'S1'!$B$6:$B$32,$A10,'S1'!$E$6:$E$32,"Ambos")+SUMIFS('S2'!$I$6:$I$23,'S2'!$B$6:$B$23,$A10,'S2'!$E$6:$E$23,"Víctor")+SUMIFS('S2'!$I$6:$I$23,'S2'!$B$6:$B$23,$A10,'S2'!$E$6:$E$23,"Ambos")+SUMIFS('S3'!$I$6:$I$24,'S3'!$B$6:$B$24,$A10,'S3'!$E$6:$E$24,"Víctor")+SUMIFS('S3'!$I$6:$I$24,'S3'!$B$6:$B$24,$A10,'S3'!$E$6:$E$24,"Ambos")+SUMIFS('S4'!$I$6:$I$22,'S4'!$B$6:$B$22,$A10,'S4'!$E$6:$E$22,"Víctor")+SUMIFS('S4'!$I$6:$I$22,'S4'!$B$6:$B$22,$A10,'S4'!$E$6:$E$22,"Ambos")+SUMIFS('S5'!$I$6:$I$20,'S5'!$B$6:$B$20,$A10,'S5'!$E$6:$E$20,"Víctor")+SUMIFS('S5'!$I$6:$I$20,'S5'!$B$6:$B$20,$A10,'S5'!$E$6:$E$20,"Ambos")+SUMIFS('S6'!$I$6:$I$17,'S6'!$B$6:$B$17,$A10,'S6'!$E$6:$E$17,"Víctor")+SUMIFS('S6'!$I$6:$I$17,'S6'!$B$6:$B$17,$A10,'S6'!$E$6:$E$17,"Ambos")+SUMIFS('S7'!$I$6:$I$19,'S7'!$B$6:$B$19,$A10,'S7'!$E$6:$E$19,"Víctor")+SUMIFS('S7'!$I$6:$I$19,'S7'!$B$6:$B$19,$A10,'S7'!$E$6:$E$19,"Ambos")+SUMIFS('S8'!$I$6:$I$23,'S8'!$B$6:$B$23,$A10,'S8'!$E$6:$E$23,"Víctor")+SUMIFS('S8'!$I$6:$I$23,'S8'!$B$6:$B$23,$A10,'S8'!$E$6:$E$23,"Ambos")+SUMIFS('S9'!$I$6:$I$15,'S9'!$B$6:$B$15,$A10,'S9'!$E$6:$E$15,"Víctor")+SUMIFS('S9'!$I$6:$I$15,'S9'!$B$6:$B$15,$A10,'S9'!$E$6:$E$15,"Ambos")+SUMIFS('S10'!$I$6:$I$13,'S10'!$B$6:$B$13,$A10,'S10'!$E$6:$E$13,"Víctor")+SUMIFS('S10'!$I$6:$I$13,'S10'!$B$6:$B$13,$A10,'S10'!$E$6:$E$13,"Ambos")+SUMIFS('Holgura'!$I$6:$I$11,'Holgura'!$B$6:$B$11,$A10,'Holgura'!$E$6:$E$11,"Víctor")+SUMIFS('Holgura'!$I$6:$I$11,'Holgura'!$B$6:$B$11,$A10,'Holgura'!$E$6:$E$11,"Ambos")+SUMIFS('Entrega'!$I$6:$I$9,'Entrega'!$B$6:$B$9,$A10,'Entrega'!$E$6:$E$9,"Víctor")+SUMIFS('Entrega'!$I$6:$I$9,'Entrega'!$B$6:$B$9,$A10,'Entrega'!$E$6:$E$9,"Ambos")+SUMIFS('Defensa'!$I$6:$I$10,'Defensa'!$B$6:$B$10,$A10,'Defensa'!$E$6:$E$10,"Víctor")+SUMIFS('Defensa'!$I$6:$I$10,'Defensa'!$B$6:$B$10,$A10,'Defensa'!$E$6:$E$10,"Ambos")</f>
        <v/>
      </c>
      <c r="E10" s="21">
        <f>SUMIFS('S1'!$I$6:$I$32,'S1'!$B$6:$B$32,$A10,'S1'!$E$6:$E$32,"Diego")+SUMIFS('S1'!$I$6:$I$32,'S1'!$B$6:$B$32,$A10,'S1'!$E$6:$E$32,"Ambos")+SUMIFS('S2'!$I$6:$I$23,'S2'!$B$6:$B$23,$A10,'S2'!$E$6:$E$23,"Diego")+SUMIFS('S2'!$I$6:$I$23,'S2'!$B$6:$B$23,$A10,'S2'!$E$6:$E$23,"Ambos")+SUMIFS('S3'!$I$6:$I$24,'S3'!$B$6:$B$24,$A10,'S3'!$E$6:$E$24,"Diego")+SUMIFS('S3'!$I$6:$I$24,'S3'!$B$6:$B$24,$A10,'S3'!$E$6:$E$24,"Ambos")+SUMIFS('S4'!$I$6:$I$22,'S4'!$B$6:$B$22,$A10,'S4'!$E$6:$E$22,"Diego")+SUMIFS('S4'!$I$6:$I$22,'S4'!$B$6:$B$22,$A10,'S4'!$E$6:$E$22,"Ambos")+SUMIFS('S5'!$I$6:$I$20,'S5'!$B$6:$B$20,$A10,'S5'!$E$6:$E$20,"Diego")+SUMIFS('S5'!$I$6:$I$20,'S5'!$B$6:$B$20,$A10,'S5'!$E$6:$E$20,"Ambos")+SUMIFS('S6'!$I$6:$I$17,'S6'!$B$6:$B$17,$A10,'S6'!$E$6:$E$17,"Diego")+SUMIFS('S6'!$I$6:$I$17,'S6'!$B$6:$B$17,$A10,'S6'!$E$6:$E$17,"Ambos")+SUMIFS('S7'!$I$6:$I$19,'S7'!$B$6:$B$19,$A10,'S7'!$E$6:$E$19,"Diego")+SUMIFS('S7'!$I$6:$I$19,'S7'!$B$6:$B$19,$A10,'S7'!$E$6:$E$19,"Ambos")+SUMIFS('S8'!$I$6:$I$23,'S8'!$B$6:$B$23,$A10,'S8'!$E$6:$E$23,"Diego")+SUMIFS('S8'!$I$6:$I$23,'S8'!$B$6:$B$23,$A10,'S8'!$E$6:$E$23,"Ambos")+SUMIFS('S9'!$I$6:$I$15,'S9'!$B$6:$B$15,$A10,'S9'!$E$6:$E$15,"Diego")+SUMIFS('S9'!$I$6:$I$15,'S9'!$B$6:$B$15,$A10,'S9'!$E$6:$E$15,"Ambos")+SUMIFS('S10'!$I$6:$I$13,'S10'!$B$6:$B$13,$A10,'S10'!$E$6:$E$13,"Diego")+SUMIFS('S10'!$I$6:$I$13,'S10'!$B$6:$B$13,$A10,'S10'!$E$6:$E$13,"Ambos")+SUMIFS('Holgura'!$I$6:$I$11,'Holgura'!$B$6:$B$11,$A10,'Holgura'!$E$6:$E$11,"Diego")+SUMIFS('Holgura'!$I$6:$I$11,'Holgura'!$B$6:$B$11,$A10,'Holgura'!$E$6:$E$11,"Ambos")+SUMIFS('Entrega'!$I$6:$I$9,'Entrega'!$B$6:$B$9,$A10,'Entrega'!$E$6:$E$9,"Diego")+SUMIFS('Entrega'!$I$6:$I$9,'Entrega'!$B$6:$B$9,$A10,'Entrega'!$E$6:$E$9,"Ambos")+SUMIFS('Defensa'!$I$6:$I$10,'Defensa'!$B$6:$B$10,$A10,'Defensa'!$E$6:$E$10,"Diego")+SUMIFS('Defensa'!$I$6:$I$10,'Defensa'!$B$6:$B$10,$A10,'Defensa'!$E$6:$E$10,"Ambos")</f>
        <v/>
      </c>
      <c r="F10" s="21">
        <f>COUNTIFS('S1'!$B$6:$B$32,$A10,'S1'!$E$6:$E$32,"Víctor")+COUNTIFS('S1'!$B$6:$B$32,$A10,'S1'!$E$6:$E$32,"Ambos")+COUNTIFS('S2'!$B$6:$B$23,$A10,'S2'!$E$6:$E$23,"Víctor")+COUNTIFS('S2'!$B$6:$B$23,$A10,'S2'!$E$6:$E$23,"Ambos")+COUNTIFS('S3'!$B$6:$B$24,$A10,'S3'!$E$6:$E$24,"Víctor")+COUNTIFS('S3'!$B$6:$B$24,$A10,'S3'!$E$6:$E$24,"Ambos")+COUNTIFS('S4'!$B$6:$B$22,$A10,'S4'!$E$6:$E$22,"Víctor")+COUNTIFS('S4'!$B$6:$B$22,$A10,'S4'!$E$6:$E$22,"Ambos")+COUNTIFS('S5'!$B$6:$B$20,$A10,'S5'!$E$6:$E$20,"Víctor")+COUNTIFS('S5'!$B$6:$B$20,$A10,'S5'!$E$6:$E$20,"Ambos")+COUNTIFS('S6'!$B$6:$B$17,$A10,'S6'!$E$6:$E$17,"Víctor")+COUNTIFS('S6'!$B$6:$B$17,$A10,'S6'!$E$6:$E$17,"Ambos")+COUNTIFS('S7'!$B$6:$B$19,$A10,'S7'!$E$6:$E$19,"Víctor")+COUNTIFS('S7'!$B$6:$B$19,$A10,'S7'!$E$6:$E$19,"Ambos")+COUNTIFS('S8'!$B$6:$B$23,$A10,'S8'!$E$6:$E$23,"Víctor")+COUNTIFS('S8'!$B$6:$B$23,$A10,'S8'!$E$6:$E$23,"Ambos")+COUNTIFS('S9'!$B$6:$B$15,$A10,'S9'!$E$6:$E$15,"Víctor")+COUNTIFS('S9'!$B$6:$B$15,$A10,'S9'!$E$6:$E$15,"Ambos")+COUNTIFS('S10'!$B$6:$B$13,$A10,'S10'!$E$6:$E$13,"Víctor")+COUNTIFS('S10'!$B$6:$B$13,$A10,'S10'!$E$6:$E$13,"Ambos")+COUNTIFS('Holgura'!$B$6:$B$11,$A10,'Holgura'!$E$6:$E$11,"Víctor")+COUNTIFS('Holgura'!$B$6:$B$11,$A10,'Holgura'!$E$6:$E$11,"Ambos")+COUNTIFS('Entrega'!$B$6:$B$9,$A10,'Entrega'!$E$6:$E$9,"Víctor")+COUNTIFS('Entrega'!$B$6:$B$9,$A10,'Entrega'!$E$6:$E$9,"Ambos")+COUNTIFS('Defensa'!$B$6:$B$10,$A10,'Defensa'!$E$6:$E$10,"Víctor")+COUNTIFS('Defensa'!$B$6:$B$10,$A10,'Defensa'!$E$6:$E$10,"Ambos")</f>
        <v/>
      </c>
      <c r="G10" s="21">
        <f>COUNTIFS('S1'!$B$6:$B$32,$A10,'S1'!$E$6:$E$32,"Diego")+COUNTIFS('S1'!$B$6:$B$32,$A10,'S1'!$E$6:$E$32,"Ambos")+COUNTIFS('S2'!$B$6:$B$23,$A10,'S2'!$E$6:$E$23,"Diego")+COUNTIFS('S2'!$B$6:$B$23,$A10,'S2'!$E$6:$E$23,"Ambos")+COUNTIFS('S3'!$B$6:$B$24,$A10,'S3'!$E$6:$E$24,"Diego")+COUNTIFS('S3'!$B$6:$B$24,$A10,'S3'!$E$6:$E$24,"Ambos")+COUNTIFS('S4'!$B$6:$B$22,$A10,'S4'!$E$6:$E$22,"Diego")+COUNTIFS('S4'!$B$6:$B$22,$A10,'S4'!$E$6:$E$22,"Ambos")+COUNTIFS('S5'!$B$6:$B$20,$A10,'S5'!$E$6:$E$20,"Diego")+COUNTIFS('S5'!$B$6:$B$20,$A10,'S5'!$E$6:$E$20,"Ambos")+COUNTIFS('S6'!$B$6:$B$17,$A10,'S6'!$E$6:$E$17,"Diego")+COUNTIFS('S6'!$B$6:$B$17,$A10,'S6'!$E$6:$E$17,"Ambos")+COUNTIFS('S7'!$B$6:$B$19,$A10,'S7'!$E$6:$E$19,"Diego")+COUNTIFS('S7'!$B$6:$B$19,$A10,'S7'!$E$6:$E$19,"Ambos")+COUNTIFS('S8'!$B$6:$B$23,$A10,'S8'!$E$6:$E$23,"Diego")+COUNTIFS('S8'!$B$6:$B$23,$A10,'S8'!$E$6:$E$23,"Ambos")+COUNTIFS('S9'!$B$6:$B$15,$A10,'S9'!$E$6:$E$15,"Diego")+COUNTIFS('S9'!$B$6:$B$15,$A10,'S9'!$E$6:$E$15,"Ambos")+COUNTIFS('S10'!$B$6:$B$13,$A10,'S10'!$E$6:$E$13,"Diego")+COUNTIFS('S10'!$B$6:$B$13,$A10,'S10'!$E$6:$E$13,"Ambos")+COUNTIFS('Holgura'!$B$6:$B$11,$A10,'Holgura'!$E$6:$E$11,"Diego")+COUNTIFS('Holgura'!$B$6:$B$11,$A10,'Holgura'!$E$6:$E$11,"Ambos")+COUNTIFS('Entrega'!$B$6:$B$9,$A10,'Entrega'!$E$6:$E$9,"Diego")+COUNTIFS('Entrega'!$B$6:$B$9,$A10,'Entrega'!$E$6:$E$9,"Ambos")+COUNTIFS('Defensa'!$B$6:$B$10,$A10,'Defensa'!$E$6:$E$10,"Diego")+COUNTIFS('Defensa'!$B$6:$B$10,$A10,'Defensa'!$E$6:$E$10,"Ambos")</f>
        <v/>
      </c>
    </row>
    <row r="11">
      <c r="A11" s="25" t="n">
        <v>46313</v>
      </c>
      <c r="B11" s="26">
        <f>A11</f>
        <v/>
      </c>
      <c r="C11" s="21">
        <f>IF(WEEKDAY(A11,2)&gt;5,4,2)</f>
        <v/>
      </c>
      <c r="D11" s="21">
        <f>SUMIFS('S1'!$I$6:$I$32,'S1'!$B$6:$B$32,$A11,'S1'!$E$6:$E$32,"Víctor")+SUMIFS('S1'!$I$6:$I$32,'S1'!$B$6:$B$32,$A11,'S1'!$E$6:$E$32,"Ambos")+SUMIFS('S2'!$I$6:$I$23,'S2'!$B$6:$B$23,$A11,'S2'!$E$6:$E$23,"Víctor")+SUMIFS('S2'!$I$6:$I$23,'S2'!$B$6:$B$23,$A11,'S2'!$E$6:$E$23,"Ambos")+SUMIFS('S3'!$I$6:$I$24,'S3'!$B$6:$B$24,$A11,'S3'!$E$6:$E$24,"Víctor")+SUMIFS('S3'!$I$6:$I$24,'S3'!$B$6:$B$24,$A11,'S3'!$E$6:$E$24,"Ambos")+SUMIFS('S4'!$I$6:$I$22,'S4'!$B$6:$B$22,$A11,'S4'!$E$6:$E$22,"Víctor")+SUMIFS('S4'!$I$6:$I$22,'S4'!$B$6:$B$22,$A11,'S4'!$E$6:$E$22,"Ambos")+SUMIFS('S5'!$I$6:$I$20,'S5'!$B$6:$B$20,$A11,'S5'!$E$6:$E$20,"Víctor")+SUMIFS('S5'!$I$6:$I$20,'S5'!$B$6:$B$20,$A11,'S5'!$E$6:$E$20,"Ambos")+SUMIFS('S6'!$I$6:$I$17,'S6'!$B$6:$B$17,$A11,'S6'!$E$6:$E$17,"Víctor")+SUMIFS('S6'!$I$6:$I$17,'S6'!$B$6:$B$17,$A11,'S6'!$E$6:$E$17,"Ambos")+SUMIFS('S7'!$I$6:$I$19,'S7'!$B$6:$B$19,$A11,'S7'!$E$6:$E$19,"Víctor")+SUMIFS('S7'!$I$6:$I$19,'S7'!$B$6:$B$19,$A11,'S7'!$E$6:$E$19,"Ambos")+SUMIFS('S8'!$I$6:$I$23,'S8'!$B$6:$B$23,$A11,'S8'!$E$6:$E$23,"Víctor")+SUMIFS('S8'!$I$6:$I$23,'S8'!$B$6:$B$23,$A11,'S8'!$E$6:$E$23,"Ambos")+SUMIFS('S9'!$I$6:$I$15,'S9'!$B$6:$B$15,$A11,'S9'!$E$6:$E$15,"Víctor")+SUMIFS('S9'!$I$6:$I$15,'S9'!$B$6:$B$15,$A11,'S9'!$E$6:$E$15,"Ambos")+SUMIFS('S10'!$I$6:$I$13,'S10'!$B$6:$B$13,$A11,'S10'!$E$6:$E$13,"Víctor")+SUMIFS('S10'!$I$6:$I$13,'S10'!$B$6:$B$13,$A11,'S10'!$E$6:$E$13,"Ambos")+SUMIFS('Holgura'!$I$6:$I$11,'Holgura'!$B$6:$B$11,$A11,'Holgura'!$E$6:$E$11,"Víctor")+SUMIFS('Holgura'!$I$6:$I$11,'Holgura'!$B$6:$B$11,$A11,'Holgura'!$E$6:$E$11,"Ambos")+SUMIFS('Entrega'!$I$6:$I$9,'Entrega'!$B$6:$B$9,$A11,'Entrega'!$E$6:$E$9,"Víctor")+SUMIFS('Entrega'!$I$6:$I$9,'Entrega'!$B$6:$B$9,$A11,'Entrega'!$E$6:$E$9,"Ambos")+SUMIFS('Defensa'!$I$6:$I$10,'Defensa'!$B$6:$B$10,$A11,'Defensa'!$E$6:$E$10,"Víctor")+SUMIFS('Defensa'!$I$6:$I$10,'Defensa'!$B$6:$B$10,$A11,'Defensa'!$E$6:$E$10,"Ambos")</f>
        <v/>
      </c>
      <c r="E11" s="21">
        <f>SUMIFS('S1'!$I$6:$I$32,'S1'!$B$6:$B$32,$A11,'S1'!$E$6:$E$32,"Diego")+SUMIFS('S1'!$I$6:$I$32,'S1'!$B$6:$B$32,$A11,'S1'!$E$6:$E$32,"Ambos")+SUMIFS('S2'!$I$6:$I$23,'S2'!$B$6:$B$23,$A11,'S2'!$E$6:$E$23,"Diego")+SUMIFS('S2'!$I$6:$I$23,'S2'!$B$6:$B$23,$A11,'S2'!$E$6:$E$23,"Ambos")+SUMIFS('S3'!$I$6:$I$24,'S3'!$B$6:$B$24,$A11,'S3'!$E$6:$E$24,"Diego")+SUMIFS('S3'!$I$6:$I$24,'S3'!$B$6:$B$24,$A11,'S3'!$E$6:$E$24,"Ambos")+SUMIFS('S4'!$I$6:$I$22,'S4'!$B$6:$B$22,$A11,'S4'!$E$6:$E$22,"Diego")+SUMIFS('S4'!$I$6:$I$22,'S4'!$B$6:$B$22,$A11,'S4'!$E$6:$E$22,"Ambos")+SUMIFS('S5'!$I$6:$I$20,'S5'!$B$6:$B$20,$A11,'S5'!$E$6:$E$20,"Diego")+SUMIFS('S5'!$I$6:$I$20,'S5'!$B$6:$B$20,$A11,'S5'!$E$6:$E$20,"Ambos")+SUMIFS('S6'!$I$6:$I$17,'S6'!$B$6:$B$17,$A11,'S6'!$E$6:$E$17,"Diego")+SUMIFS('S6'!$I$6:$I$17,'S6'!$B$6:$B$17,$A11,'S6'!$E$6:$E$17,"Ambos")+SUMIFS('S7'!$I$6:$I$19,'S7'!$B$6:$B$19,$A11,'S7'!$E$6:$E$19,"Diego")+SUMIFS('S7'!$I$6:$I$19,'S7'!$B$6:$B$19,$A11,'S7'!$E$6:$E$19,"Ambos")+SUMIFS('S8'!$I$6:$I$23,'S8'!$B$6:$B$23,$A11,'S8'!$E$6:$E$23,"Diego")+SUMIFS('S8'!$I$6:$I$23,'S8'!$B$6:$B$23,$A11,'S8'!$E$6:$E$23,"Ambos")+SUMIFS('S9'!$I$6:$I$15,'S9'!$B$6:$B$15,$A11,'S9'!$E$6:$E$15,"Diego")+SUMIFS('S9'!$I$6:$I$15,'S9'!$B$6:$B$15,$A11,'S9'!$E$6:$E$15,"Ambos")+SUMIFS('S10'!$I$6:$I$13,'S10'!$B$6:$B$13,$A11,'S10'!$E$6:$E$13,"Diego")+SUMIFS('S10'!$I$6:$I$13,'S10'!$B$6:$B$13,$A11,'S10'!$E$6:$E$13,"Ambos")+SUMIFS('Holgura'!$I$6:$I$11,'Holgura'!$B$6:$B$11,$A11,'Holgura'!$E$6:$E$11,"Diego")+SUMIFS('Holgura'!$I$6:$I$11,'Holgura'!$B$6:$B$11,$A11,'Holgura'!$E$6:$E$11,"Ambos")+SUMIFS('Entrega'!$I$6:$I$9,'Entrega'!$B$6:$B$9,$A11,'Entrega'!$E$6:$E$9,"Diego")+SUMIFS('Entrega'!$I$6:$I$9,'Entrega'!$B$6:$B$9,$A11,'Entrega'!$E$6:$E$9,"Ambos")+SUMIFS('Defensa'!$I$6:$I$10,'Defensa'!$B$6:$B$10,$A11,'Defensa'!$E$6:$E$10,"Diego")+SUMIFS('Defensa'!$I$6:$I$10,'Defensa'!$B$6:$B$10,$A11,'Defensa'!$E$6:$E$10,"Ambos")</f>
        <v/>
      </c>
      <c r="F11" s="21">
        <f>COUNTIFS('S1'!$B$6:$B$32,$A11,'S1'!$E$6:$E$32,"Víctor")+COUNTIFS('S1'!$B$6:$B$32,$A11,'S1'!$E$6:$E$32,"Ambos")+COUNTIFS('S2'!$B$6:$B$23,$A11,'S2'!$E$6:$E$23,"Víctor")+COUNTIFS('S2'!$B$6:$B$23,$A11,'S2'!$E$6:$E$23,"Ambos")+COUNTIFS('S3'!$B$6:$B$24,$A11,'S3'!$E$6:$E$24,"Víctor")+COUNTIFS('S3'!$B$6:$B$24,$A11,'S3'!$E$6:$E$24,"Ambos")+COUNTIFS('S4'!$B$6:$B$22,$A11,'S4'!$E$6:$E$22,"Víctor")+COUNTIFS('S4'!$B$6:$B$22,$A11,'S4'!$E$6:$E$22,"Ambos")+COUNTIFS('S5'!$B$6:$B$20,$A11,'S5'!$E$6:$E$20,"Víctor")+COUNTIFS('S5'!$B$6:$B$20,$A11,'S5'!$E$6:$E$20,"Ambos")+COUNTIFS('S6'!$B$6:$B$17,$A11,'S6'!$E$6:$E$17,"Víctor")+COUNTIFS('S6'!$B$6:$B$17,$A11,'S6'!$E$6:$E$17,"Ambos")+COUNTIFS('S7'!$B$6:$B$19,$A11,'S7'!$E$6:$E$19,"Víctor")+COUNTIFS('S7'!$B$6:$B$19,$A11,'S7'!$E$6:$E$19,"Ambos")+COUNTIFS('S8'!$B$6:$B$23,$A11,'S8'!$E$6:$E$23,"Víctor")+COUNTIFS('S8'!$B$6:$B$23,$A11,'S8'!$E$6:$E$23,"Ambos")+COUNTIFS('S9'!$B$6:$B$15,$A11,'S9'!$E$6:$E$15,"Víctor")+COUNTIFS('S9'!$B$6:$B$15,$A11,'S9'!$E$6:$E$15,"Ambos")+COUNTIFS('S10'!$B$6:$B$13,$A11,'S10'!$E$6:$E$13,"Víctor")+COUNTIFS('S10'!$B$6:$B$13,$A11,'S10'!$E$6:$E$13,"Ambos")+COUNTIFS('Holgura'!$B$6:$B$11,$A11,'Holgura'!$E$6:$E$11,"Víctor")+COUNTIFS('Holgura'!$B$6:$B$11,$A11,'Holgura'!$E$6:$E$11,"Ambos")+COUNTIFS('Entrega'!$B$6:$B$9,$A11,'Entrega'!$E$6:$E$9,"Víctor")+COUNTIFS('Entrega'!$B$6:$B$9,$A11,'Entrega'!$E$6:$E$9,"Ambos")+COUNTIFS('Defensa'!$B$6:$B$10,$A11,'Defensa'!$E$6:$E$10,"Víctor")+COUNTIFS('Defensa'!$B$6:$B$10,$A11,'Defensa'!$E$6:$E$10,"Ambos")</f>
        <v/>
      </c>
      <c r="G11" s="21">
        <f>COUNTIFS('S1'!$B$6:$B$32,$A11,'S1'!$E$6:$E$32,"Diego")+COUNTIFS('S1'!$B$6:$B$32,$A11,'S1'!$E$6:$E$32,"Ambos")+COUNTIFS('S2'!$B$6:$B$23,$A11,'S2'!$E$6:$E$23,"Diego")+COUNTIFS('S2'!$B$6:$B$23,$A11,'S2'!$E$6:$E$23,"Ambos")+COUNTIFS('S3'!$B$6:$B$24,$A11,'S3'!$E$6:$E$24,"Diego")+COUNTIFS('S3'!$B$6:$B$24,$A11,'S3'!$E$6:$E$24,"Ambos")+COUNTIFS('S4'!$B$6:$B$22,$A11,'S4'!$E$6:$E$22,"Diego")+COUNTIFS('S4'!$B$6:$B$22,$A11,'S4'!$E$6:$E$22,"Ambos")+COUNTIFS('S5'!$B$6:$B$20,$A11,'S5'!$E$6:$E$20,"Diego")+COUNTIFS('S5'!$B$6:$B$20,$A11,'S5'!$E$6:$E$20,"Ambos")+COUNTIFS('S6'!$B$6:$B$17,$A11,'S6'!$E$6:$E$17,"Diego")+COUNTIFS('S6'!$B$6:$B$17,$A11,'S6'!$E$6:$E$17,"Ambos")+COUNTIFS('S7'!$B$6:$B$19,$A11,'S7'!$E$6:$E$19,"Diego")+COUNTIFS('S7'!$B$6:$B$19,$A11,'S7'!$E$6:$E$19,"Ambos")+COUNTIFS('S8'!$B$6:$B$23,$A11,'S8'!$E$6:$E$23,"Diego")+COUNTIFS('S8'!$B$6:$B$23,$A11,'S8'!$E$6:$E$23,"Ambos")+COUNTIFS('S9'!$B$6:$B$15,$A11,'S9'!$E$6:$E$15,"Diego")+COUNTIFS('S9'!$B$6:$B$15,$A11,'S9'!$E$6:$E$15,"Ambos")+COUNTIFS('S10'!$B$6:$B$13,$A11,'S10'!$E$6:$E$13,"Diego")+COUNTIFS('S10'!$B$6:$B$13,$A11,'S10'!$E$6:$E$13,"Ambos")+COUNTIFS('Holgura'!$B$6:$B$11,$A11,'Holgura'!$E$6:$E$11,"Diego")+COUNTIFS('Holgura'!$B$6:$B$11,$A11,'Holgura'!$E$6:$E$11,"Ambos")+COUNTIFS('Entrega'!$B$6:$B$9,$A11,'Entrega'!$E$6:$E$9,"Diego")+COUNTIFS('Entrega'!$B$6:$B$9,$A11,'Entrega'!$E$6:$E$9,"Ambos")+COUNTIFS('Defensa'!$B$6:$B$10,$A11,'Defensa'!$E$6:$E$10,"Diego")+COUNTIFS('Defensa'!$B$6:$B$10,$A11,'Defensa'!$E$6:$E$10,"Ambos")</f>
        <v/>
      </c>
    </row>
    <row r="12">
      <c r="A12" s="25" t="n">
        <v>46314</v>
      </c>
      <c r="B12" s="26">
        <f>A12</f>
        <v/>
      </c>
      <c r="C12" s="21">
        <f>IF(WEEKDAY(A12,2)&gt;5,4,2)</f>
        <v/>
      </c>
      <c r="D12" s="21">
        <f>SUMIFS('S1'!$I$6:$I$32,'S1'!$B$6:$B$32,$A12,'S1'!$E$6:$E$32,"Víctor")+SUMIFS('S1'!$I$6:$I$32,'S1'!$B$6:$B$32,$A12,'S1'!$E$6:$E$32,"Ambos")+SUMIFS('S2'!$I$6:$I$23,'S2'!$B$6:$B$23,$A12,'S2'!$E$6:$E$23,"Víctor")+SUMIFS('S2'!$I$6:$I$23,'S2'!$B$6:$B$23,$A12,'S2'!$E$6:$E$23,"Ambos")+SUMIFS('S3'!$I$6:$I$24,'S3'!$B$6:$B$24,$A12,'S3'!$E$6:$E$24,"Víctor")+SUMIFS('S3'!$I$6:$I$24,'S3'!$B$6:$B$24,$A12,'S3'!$E$6:$E$24,"Ambos")+SUMIFS('S4'!$I$6:$I$22,'S4'!$B$6:$B$22,$A12,'S4'!$E$6:$E$22,"Víctor")+SUMIFS('S4'!$I$6:$I$22,'S4'!$B$6:$B$22,$A12,'S4'!$E$6:$E$22,"Ambos")+SUMIFS('S5'!$I$6:$I$20,'S5'!$B$6:$B$20,$A12,'S5'!$E$6:$E$20,"Víctor")+SUMIFS('S5'!$I$6:$I$20,'S5'!$B$6:$B$20,$A12,'S5'!$E$6:$E$20,"Ambos")+SUMIFS('S6'!$I$6:$I$17,'S6'!$B$6:$B$17,$A12,'S6'!$E$6:$E$17,"Víctor")+SUMIFS('S6'!$I$6:$I$17,'S6'!$B$6:$B$17,$A12,'S6'!$E$6:$E$17,"Ambos")+SUMIFS('S7'!$I$6:$I$19,'S7'!$B$6:$B$19,$A12,'S7'!$E$6:$E$19,"Víctor")+SUMIFS('S7'!$I$6:$I$19,'S7'!$B$6:$B$19,$A12,'S7'!$E$6:$E$19,"Ambos")+SUMIFS('S8'!$I$6:$I$23,'S8'!$B$6:$B$23,$A12,'S8'!$E$6:$E$23,"Víctor")+SUMIFS('S8'!$I$6:$I$23,'S8'!$B$6:$B$23,$A12,'S8'!$E$6:$E$23,"Ambos")+SUMIFS('S9'!$I$6:$I$15,'S9'!$B$6:$B$15,$A12,'S9'!$E$6:$E$15,"Víctor")+SUMIFS('S9'!$I$6:$I$15,'S9'!$B$6:$B$15,$A12,'S9'!$E$6:$E$15,"Ambos")+SUMIFS('S10'!$I$6:$I$13,'S10'!$B$6:$B$13,$A12,'S10'!$E$6:$E$13,"Víctor")+SUMIFS('S10'!$I$6:$I$13,'S10'!$B$6:$B$13,$A12,'S10'!$E$6:$E$13,"Ambos")+SUMIFS('Holgura'!$I$6:$I$11,'Holgura'!$B$6:$B$11,$A12,'Holgura'!$E$6:$E$11,"Víctor")+SUMIFS('Holgura'!$I$6:$I$11,'Holgura'!$B$6:$B$11,$A12,'Holgura'!$E$6:$E$11,"Ambos")+SUMIFS('Entrega'!$I$6:$I$9,'Entrega'!$B$6:$B$9,$A12,'Entrega'!$E$6:$E$9,"Víctor")+SUMIFS('Entrega'!$I$6:$I$9,'Entrega'!$B$6:$B$9,$A12,'Entrega'!$E$6:$E$9,"Ambos")+SUMIFS('Defensa'!$I$6:$I$10,'Defensa'!$B$6:$B$10,$A12,'Defensa'!$E$6:$E$10,"Víctor")+SUMIFS('Defensa'!$I$6:$I$10,'Defensa'!$B$6:$B$10,$A12,'Defensa'!$E$6:$E$10,"Ambos")</f>
        <v/>
      </c>
      <c r="E12" s="21">
        <f>SUMIFS('S1'!$I$6:$I$32,'S1'!$B$6:$B$32,$A12,'S1'!$E$6:$E$32,"Diego")+SUMIFS('S1'!$I$6:$I$32,'S1'!$B$6:$B$32,$A12,'S1'!$E$6:$E$32,"Ambos")+SUMIFS('S2'!$I$6:$I$23,'S2'!$B$6:$B$23,$A12,'S2'!$E$6:$E$23,"Diego")+SUMIFS('S2'!$I$6:$I$23,'S2'!$B$6:$B$23,$A12,'S2'!$E$6:$E$23,"Ambos")+SUMIFS('S3'!$I$6:$I$24,'S3'!$B$6:$B$24,$A12,'S3'!$E$6:$E$24,"Diego")+SUMIFS('S3'!$I$6:$I$24,'S3'!$B$6:$B$24,$A12,'S3'!$E$6:$E$24,"Ambos")+SUMIFS('S4'!$I$6:$I$22,'S4'!$B$6:$B$22,$A12,'S4'!$E$6:$E$22,"Diego")+SUMIFS('S4'!$I$6:$I$22,'S4'!$B$6:$B$22,$A12,'S4'!$E$6:$E$22,"Ambos")+SUMIFS('S5'!$I$6:$I$20,'S5'!$B$6:$B$20,$A12,'S5'!$E$6:$E$20,"Diego")+SUMIFS('S5'!$I$6:$I$20,'S5'!$B$6:$B$20,$A12,'S5'!$E$6:$E$20,"Ambos")+SUMIFS('S6'!$I$6:$I$17,'S6'!$B$6:$B$17,$A12,'S6'!$E$6:$E$17,"Diego")+SUMIFS('S6'!$I$6:$I$17,'S6'!$B$6:$B$17,$A12,'S6'!$E$6:$E$17,"Ambos")+SUMIFS('S7'!$I$6:$I$19,'S7'!$B$6:$B$19,$A12,'S7'!$E$6:$E$19,"Diego")+SUMIFS('S7'!$I$6:$I$19,'S7'!$B$6:$B$19,$A12,'S7'!$E$6:$E$19,"Ambos")+SUMIFS('S8'!$I$6:$I$23,'S8'!$B$6:$B$23,$A12,'S8'!$E$6:$E$23,"Diego")+SUMIFS('S8'!$I$6:$I$23,'S8'!$B$6:$B$23,$A12,'S8'!$E$6:$E$23,"Ambos")+SUMIFS('S9'!$I$6:$I$15,'S9'!$B$6:$B$15,$A12,'S9'!$E$6:$E$15,"Diego")+SUMIFS('S9'!$I$6:$I$15,'S9'!$B$6:$B$15,$A12,'S9'!$E$6:$E$15,"Ambos")+SUMIFS('S10'!$I$6:$I$13,'S10'!$B$6:$B$13,$A12,'S10'!$E$6:$E$13,"Diego")+SUMIFS('S10'!$I$6:$I$13,'S10'!$B$6:$B$13,$A12,'S10'!$E$6:$E$13,"Ambos")+SUMIFS('Holgura'!$I$6:$I$11,'Holgura'!$B$6:$B$11,$A12,'Holgura'!$E$6:$E$11,"Diego")+SUMIFS('Holgura'!$I$6:$I$11,'Holgura'!$B$6:$B$11,$A12,'Holgura'!$E$6:$E$11,"Ambos")+SUMIFS('Entrega'!$I$6:$I$9,'Entrega'!$B$6:$B$9,$A12,'Entrega'!$E$6:$E$9,"Diego")+SUMIFS('Entrega'!$I$6:$I$9,'Entrega'!$B$6:$B$9,$A12,'Entrega'!$E$6:$E$9,"Ambos")+SUMIFS('Defensa'!$I$6:$I$10,'Defensa'!$B$6:$B$10,$A12,'Defensa'!$E$6:$E$10,"Diego")+SUMIFS('Defensa'!$I$6:$I$10,'Defensa'!$B$6:$B$10,$A12,'Defensa'!$E$6:$E$10,"Ambos")</f>
        <v/>
      </c>
      <c r="F12" s="21">
        <f>COUNTIFS('S1'!$B$6:$B$32,$A12,'S1'!$E$6:$E$32,"Víctor")+COUNTIFS('S1'!$B$6:$B$32,$A12,'S1'!$E$6:$E$32,"Ambos")+COUNTIFS('S2'!$B$6:$B$23,$A12,'S2'!$E$6:$E$23,"Víctor")+COUNTIFS('S2'!$B$6:$B$23,$A12,'S2'!$E$6:$E$23,"Ambos")+COUNTIFS('S3'!$B$6:$B$24,$A12,'S3'!$E$6:$E$24,"Víctor")+COUNTIFS('S3'!$B$6:$B$24,$A12,'S3'!$E$6:$E$24,"Ambos")+COUNTIFS('S4'!$B$6:$B$22,$A12,'S4'!$E$6:$E$22,"Víctor")+COUNTIFS('S4'!$B$6:$B$22,$A12,'S4'!$E$6:$E$22,"Ambos")+COUNTIFS('S5'!$B$6:$B$20,$A12,'S5'!$E$6:$E$20,"Víctor")+COUNTIFS('S5'!$B$6:$B$20,$A12,'S5'!$E$6:$E$20,"Ambos")+COUNTIFS('S6'!$B$6:$B$17,$A12,'S6'!$E$6:$E$17,"Víctor")+COUNTIFS('S6'!$B$6:$B$17,$A12,'S6'!$E$6:$E$17,"Ambos")+COUNTIFS('S7'!$B$6:$B$19,$A12,'S7'!$E$6:$E$19,"Víctor")+COUNTIFS('S7'!$B$6:$B$19,$A12,'S7'!$E$6:$E$19,"Ambos")+COUNTIFS('S8'!$B$6:$B$23,$A12,'S8'!$E$6:$E$23,"Víctor")+COUNTIFS('S8'!$B$6:$B$23,$A12,'S8'!$E$6:$E$23,"Ambos")+COUNTIFS('S9'!$B$6:$B$15,$A12,'S9'!$E$6:$E$15,"Víctor")+COUNTIFS('S9'!$B$6:$B$15,$A12,'S9'!$E$6:$E$15,"Ambos")+COUNTIFS('S10'!$B$6:$B$13,$A12,'S10'!$E$6:$E$13,"Víctor")+COUNTIFS('S10'!$B$6:$B$13,$A12,'S10'!$E$6:$E$13,"Ambos")+COUNTIFS('Holgura'!$B$6:$B$11,$A12,'Holgura'!$E$6:$E$11,"Víctor")+COUNTIFS('Holgura'!$B$6:$B$11,$A12,'Holgura'!$E$6:$E$11,"Ambos")+COUNTIFS('Entrega'!$B$6:$B$9,$A12,'Entrega'!$E$6:$E$9,"Víctor")+COUNTIFS('Entrega'!$B$6:$B$9,$A12,'Entrega'!$E$6:$E$9,"Ambos")+COUNTIFS('Defensa'!$B$6:$B$10,$A12,'Defensa'!$E$6:$E$10,"Víctor")+COUNTIFS('Defensa'!$B$6:$B$10,$A12,'Defensa'!$E$6:$E$10,"Ambos")</f>
        <v/>
      </c>
      <c r="G12" s="21">
        <f>COUNTIFS('S1'!$B$6:$B$32,$A12,'S1'!$E$6:$E$32,"Diego")+COUNTIFS('S1'!$B$6:$B$32,$A12,'S1'!$E$6:$E$32,"Ambos")+COUNTIFS('S2'!$B$6:$B$23,$A12,'S2'!$E$6:$E$23,"Diego")+COUNTIFS('S2'!$B$6:$B$23,$A12,'S2'!$E$6:$E$23,"Ambos")+COUNTIFS('S3'!$B$6:$B$24,$A12,'S3'!$E$6:$E$24,"Diego")+COUNTIFS('S3'!$B$6:$B$24,$A12,'S3'!$E$6:$E$24,"Ambos")+COUNTIFS('S4'!$B$6:$B$22,$A12,'S4'!$E$6:$E$22,"Diego")+COUNTIFS('S4'!$B$6:$B$22,$A12,'S4'!$E$6:$E$22,"Ambos")+COUNTIFS('S5'!$B$6:$B$20,$A12,'S5'!$E$6:$E$20,"Diego")+COUNTIFS('S5'!$B$6:$B$20,$A12,'S5'!$E$6:$E$20,"Ambos")+COUNTIFS('S6'!$B$6:$B$17,$A12,'S6'!$E$6:$E$17,"Diego")+COUNTIFS('S6'!$B$6:$B$17,$A12,'S6'!$E$6:$E$17,"Ambos")+COUNTIFS('S7'!$B$6:$B$19,$A12,'S7'!$E$6:$E$19,"Diego")+COUNTIFS('S7'!$B$6:$B$19,$A12,'S7'!$E$6:$E$19,"Ambos")+COUNTIFS('S8'!$B$6:$B$23,$A12,'S8'!$E$6:$E$23,"Diego")+COUNTIFS('S8'!$B$6:$B$23,$A12,'S8'!$E$6:$E$23,"Ambos")+COUNTIFS('S9'!$B$6:$B$15,$A12,'S9'!$E$6:$E$15,"Diego")+COUNTIFS('S9'!$B$6:$B$15,$A12,'S9'!$E$6:$E$15,"Ambos")+COUNTIFS('S10'!$B$6:$B$13,$A12,'S10'!$E$6:$E$13,"Diego")+COUNTIFS('S10'!$B$6:$B$13,$A12,'S10'!$E$6:$E$13,"Ambos")+COUNTIFS('Holgura'!$B$6:$B$11,$A12,'Holgura'!$E$6:$E$11,"Diego")+COUNTIFS('Holgura'!$B$6:$B$11,$A12,'Holgura'!$E$6:$E$11,"Ambos")+COUNTIFS('Entrega'!$B$6:$B$9,$A12,'Entrega'!$E$6:$E$9,"Diego")+COUNTIFS('Entrega'!$B$6:$B$9,$A12,'Entrega'!$E$6:$E$9,"Ambos")+COUNTIFS('Defensa'!$B$6:$B$10,$A12,'Defensa'!$E$6:$E$10,"Diego")+COUNTIFS('Defensa'!$B$6:$B$10,$A12,'Defensa'!$E$6:$E$10,"Ambos")</f>
        <v/>
      </c>
    </row>
    <row r="13">
      <c r="A13" s="25" t="n">
        <v>46315</v>
      </c>
      <c r="B13" s="26">
        <f>A13</f>
        <v/>
      </c>
      <c r="C13" s="21">
        <f>IF(WEEKDAY(A13,2)&gt;5,4,2)</f>
        <v/>
      </c>
      <c r="D13" s="21">
        <f>SUMIFS('S1'!$I$6:$I$32,'S1'!$B$6:$B$32,$A13,'S1'!$E$6:$E$32,"Víctor")+SUMIFS('S1'!$I$6:$I$32,'S1'!$B$6:$B$32,$A13,'S1'!$E$6:$E$32,"Ambos")+SUMIFS('S2'!$I$6:$I$23,'S2'!$B$6:$B$23,$A13,'S2'!$E$6:$E$23,"Víctor")+SUMIFS('S2'!$I$6:$I$23,'S2'!$B$6:$B$23,$A13,'S2'!$E$6:$E$23,"Ambos")+SUMIFS('S3'!$I$6:$I$24,'S3'!$B$6:$B$24,$A13,'S3'!$E$6:$E$24,"Víctor")+SUMIFS('S3'!$I$6:$I$24,'S3'!$B$6:$B$24,$A13,'S3'!$E$6:$E$24,"Ambos")+SUMIFS('S4'!$I$6:$I$22,'S4'!$B$6:$B$22,$A13,'S4'!$E$6:$E$22,"Víctor")+SUMIFS('S4'!$I$6:$I$22,'S4'!$B$6:$B$22,$A13,'S4'!$E$6:$E$22,"Ambos")+SUMIFS('S5'!$I$6:$I$20,'S5'!$B$6:$B$20,$A13,'S5'!$E$6:$E$20,"Víctor")+SUMIFS('S5'!$I$6:$I$20,'S5'!$B$6:$B$20,$A13,'S5'!$E$6:$E$20,"Ambos")+SUMIFS('S6'!$I$6:$I$17,'S6'!$B$6:$B$17,$A13,'S6'!$E$6:$E$17,"Víctor")+SUMIFS('S6'!$I$6:$I$17,'S6'!$B$6:$B$17,$A13,'S6'!$E$6:$E$17,"Ambos")+SUMIFS('S7'!$I$6:$I$19,'S7'!$B$6:$B$19,$A13,'S7'!$E$6:$E$19,"Víctor")+SUMIFS('S7'!$I$6:$I$19,'S7'!$B$6:$B$19,$A13,'S7'!$E$6:$E$19,"Ambos")+SUMIFS('S8'!$I$6:$I$23,'S8'!$B$6:$B$23,$A13,'S8'!$E$6:$E$23,"Víctor")+SUMIFS('S8'!$I$6:$I$23,'S8'!$B$6:$B$23,$A13,'S8'!$E$6:$E$23,"Ambos")+SUMIFS('S9'!$I$6:$I$15,'S9'!$B$6:$B$15,$A13,'S9'!$E$6:$E$15,"Víctor")+SUMIFS('S9'!$I$6:$I$15,'S9'!$B$6:$B$15,$A13,'S9'!$E$6:$E$15,"Ambos")+SUMIFS('S10'!$I$6:$I$13,'S10'!$B$6:$B$13,$A13,'S10'!$E$6:$E$13,"Víctor")+SUMIFS('S10'!$I$6:$I$13,'S10'!$B$6:$B$13,$A13,'S10'!$E$6:$E$13,"Ambos")+SUMIFS('Holgura'!$I$6:$I$11,'Holgura'!$B$6:$B$11,$A13,'Holgura'!$E$6:$E$11,"Víctor")+SUMIFS('Holgura'!$I$6:$I$11,'Holgura'!$B$6:$B$11,$A13,'Holgura'!$E$6:$E$11,"Ambos")+SUMIFS('Entrega'!$I$6:$I$9,'Entrega'!$B$6:$B$9,$A13,'Entrega'!$E$6:$E$9,"Víctor")+SUMIFS('Entrega'!$I$6:$I$9,'Entrega'!$B$6:$B$9,$A13,'Entrega'!$E$6:$E$9,"Ambos")+SUMIFS('Defensa'!$I$6:$I$10,'Defensa'!$B$6:$B$10,$A13,'Defensa'!$E$6:$E$10,"Víctor")+SUMIFS('Defensa'!$I$6:$I$10,'Defensa'!$B$6:$B$10,$A13,'Defensa'!$E$6:$E$10,"Ambos")</f>
        <v/>
      </c>
      <c r="E13" s="21">
        <f>SUMIFS('S1'!$I$6:$I$32,'S1'!$B$6:$B$32,$A13,'S1'!$E$6:$E$32,"Diego")+SUMIFS('S1'!$I$6:$I$32,'S1'!$B$6:$B$32,$A13,'S1'!$E$6:$E$32,"Ambos")+SUMIFS('S2'!$I$6:$I$23,'S2'!$B$6:$B$23,$A13,'S2'!$E$6:$E$23,"Diego")+SUMIFS('S2'!$I$6:$I$23,'S2'!$B$6:$B$23,$A13,'S2'!$E$6:$E$23,"Ambos")+SUMIFS('S3'!$I$6:$I$24,'S3'!$B$6:$B$24,$A13,'S3'!$E$6:$E$24,"Diego")+SUMIFS('S3'!$I$6:$I$24,'S3'!$B$6:$B$24,$A13,'S3'!$E$6:$E$24,"Ambos")+SUMIFS('S4'!$I$6:$I$22,'S4'!$B$6:$B$22,$A13,'S4'!$E$6:$E$22,"Diego")+SUMIFS('S4'!$I$6:$I$22,'S4'!$B$6:$B$22,$A13,'S4'!$E$6:$E$22,"Ambos")+SUMIFS('S5'!$I$6:$I$20,'S5'!$B$6:$B$20,$A13,'S5'!$E$6:$E$20,"Diego")+SUMIFS('S5'!$I$6:$I$20,'S5'!$B$6:$B$20,$A13,'S5'!$E$6:$E$20,"Ambos")+SUMIFS('S6'!$I$6:$I$17,'S6'!$B$6:$B$17,$A13,'S6'!$E$6:$E$17,"Diego")+SUMIFS('S6'!$I$6:$I$17,'S6'!$B$6:$B$17,$A13,'S6'!$E$6:$E$17,"Ambos")+SUMIFS('S7'!$I$6:$I$19,'S7'!$B$6:$B$19,$A13,'S7'!$E$6:$E$19,"Diego")+SUMIFS('S7'!$I$6:$I$19,'S7'!$B$6:$B$19,$A13,'S7'!$E$6:$E$19,"Ambos")+SUMIFS('S8'!$I$6:$I$23,'S8'!$B$6:$B$23,$A13,'S8'!$E$6:$E$23,"Diego")+SUMIFS('S8'!$I$6:$I$23,'S8'!$B$6:$B$23,$A13,'S8'!$E$6:$E$23,"Ambos")+SUMIFS('S9'!$I$6:$I$15,'S9'!$B$6:$B$15,$A13,'S9'!$E$6:$E$15,"Diego")+SUMIFS('S9'!$I$6:$I$15,'S9'!$B$6:$B$15,$A13,'S9'!$E$6:$E$15,"Ambos")+SUMIFS('S10'!$I$6:$I$13,'S10'!$B$6:$B$13,$A13,'S10'!$E$6:$E$13,"Diego")+SUMIFS('S10'!$I$6:$I$13,'S10'!$B$6:$B$13,$A13,'S10'!$E$6:$E$13,"Ambos")+SUMIFS('Holgura'!$I$6:$I$11,'Holgura'!$B$6:$B$11,$A13,'Holgura'!$E$6:$E$11,"Diego")+SUMIFS('Holgura'!$I$6:$I$11,'Holgura'!$B$6:$B$11,$A13,'Holgura'!$E$6:$E$11,"Ambos")+SUMIFS('Entrega'!$I$6:$I$9,'Entrega'!$B$6:$B$9,$A13,'Entrega'!$E$6:$E$9,"Diego")+SUMIFS('Entrega'!$I$6:$I$9,'Entrega'!$B$6:$B$9,$A13,'Entrega'!$E$6:$E$9,"Ambos")+SUMIFS('Defensa'!$I$6:$I$10,'Defensa'!$B$6:$B$10,$A13,'Defensa'!$E$6:$E$10,"Diego")+SUMIFS('Defensa'!$I$6:$I$10,'Defensa'!$B$6:$B$10,$A13,'Defensa'!$E$6:$E$10,"Ambos")</f>
        <v/>
      </c>
      <c r="F13" s="21">
        <f>COUNTIFS('S1'!$B$6:$B$32,$A13,'S1'!$E$6:$E$32,"Víctor")+COUNTIFS('S1'!$B$6:$B$32,$A13,'S1'!$E$6:$E$32,"Ambos")+COUNTIFS('S2'!$B$6:$B$23,$A13,'S2'!$E$6:$E$23,"Víctor")+COUNTIFS('S2'!$B$6:$B$23,$A13,'S2'!$E$6:$E$23,"Ambos")+COUNTIFS('S3'!$B$6:$B$24,$A13,'S3'!$E$6:$E$24,"Víctor")+COUNTIFS('S3'!$B$6:$B$24,$A13,'S3'!$E$6:$E$24,"Ambos")+COUNTIFS('S4'!$B$6:$B$22,$A13,'S4'!$E$6:$E$22,"Víctor")+COUNTIFS('S4'!$B$6:$B$22,$A13,'S4'!$E$6:$E$22,"Ambos")+COUNTIFS('S5'!$B$6:$B$20,$A13,'S5'!$E$6:$E$20,"Víctor")+COUNTIFS('S5'!$B$6:$B$20,$A13,'S5'!$E$6:$E$20,"Ambos")+COUNTIFS('S6'!$B$6:$B$17,$A13,'S6'!$E$6:$E$17,"Víctor")+COUNTIFS('S6'!$B$6:$B$17,$A13,'S6'!$E$6:$E$17,"Ambos")+COUNTIFS('S7'!$B$6:$B$19,$A13,'S7'!$E$6:$E$19,"Víctor")+COUNTIFS('S7'!$B$6:$B$19,$A13,'S7'!$E$6:$E$19,"Ambos")+COUNTIFS('S8'!$B$6:$B$23,$A13,'S8'!$E$6:$E$23,"Víctor")+COUNTIFS('S8'!$B$6:$B$23,$A13,'S8'!$E$6:$E$23,"Ambos")+COUNTIFS('S9'!$B$6:$B$15,$A13,'S9'!$E$6:$E$15,"Víctor")+COUNTIFS('S9'!$B$6:$B$15,$A13,'S9'!$E$6:$E$15,"Ambos")+COUNTIFS('S10'!$B$6:$B$13,$A13,'S10'!$E$6:$E$13,"Víctor")+COUNTIFS('S10'!$B$6:$B$13,$A13,'S10'!$E$6:$E$13,"Ambos")+COUNTIFS('Holgura'!$B$6:$B$11,$A13,'Holgura'!$E$6:$E$11,"Víctor")+COUNTIFS('Holgura'!$B$6:$B$11,$A13,'Holgura'!$E$6:$E$11,"Ambos")+COUNTIFS('Entrega'!$B$6:$B$9,$A13,'Entrega'!$E$6:$E$9,"Víctor")+COUNTIFS('Entrega'!$B$6:$B$9,$A13,'Entrega'!$E$6:$E$9,"Ambos")+COUNTIFS('Defensa'!$B$6:$B$10,$A13,'Defensa'!$E$6:$E$10,"Víctor")+COUNTIFS('Defensa'!$B$6:$B$10,$A13,'Defensa'!$E$6:$E$10,"Ambos")</f>
        <v/>
      </c>
      <c r="G13" s="21">
        <f>COUNTIFS('S1'!$B$6:$B$32,$A13,'S1'!$E$6:$E$32,"Diego")+COUNTIFS('S1'!$B$6:$B$32,$A13,'S1'!$E$6:$E$32,"Ambos")+COUNTIFS('S2'!$B$6:$B$23,$A13,'S2'!$E$6:$E$23,"Diego")+COUNTIFS('S2'!$B$6:$B$23,$A13,'S2'!$E$6:$E$23,"Ambos")+COUNTIFS('S3'!$B$6:$B$24,$A13,'S3'!$E$6:$E$24,"Diego")+COUNTIFS('S3'!$B$6:$B$24,$A13,'S3'!$E$6:$E$24,"Ambos")+COUNTIFS('S4'!$B$6:$B$22,$A13,'S4'!$E$6:$E$22,"Diego")+COUNTIFS('S4'!$B$6:$B$22,$A13,'S4'!$E$6:$E$22,"Ambos")+COUNTIFS('S5'!$B$6:$B$20,$A13,'S5'!$E$6:$E$20,"Diego")+COUNTIFS('S5'!$B$6:$B$20,$A13,'S5'!$E$6:$E$20,"Ambos")+COUNTIFS('S6'!$B$6:$B$17,$A13,'S6'!$E$6:$E$17,"Diego")+COUNTIFS('S6'!$B$6:$B$17,$A13,'S6'!$E$6:$E$17,"Ambos")+COUNTIFS('S7'!$B$6:$B$19,$A13,'S7'!$E$6:$E$19,"Diego")+COUNTIFS('S7'!$B$6:$B$19,$A13,'S7'!$E$6:$E$19,"Ambos")+COUNTIFS('S8'!$B$6:$B$23,$A13,'S8'!$E$6:$E$23,"Diego")+COUNTIFS('S8'!$B$6:$B$23,$A13,'S8'!$E$6:$E$23,"Ambos")+COUNTIFS('S9'!$B$6:$B$15,$A13,'S9'!$E$6:$E$15,"Diego")+COUNTIFS('S9'!$B$6:$B$15,$A13,'S9'!$E$6:$E$15,"Ambos")+COUNTIFS('S10'!$B$6:$B$13,$A13,'S10'!$E$6:$E$13,"Diego")+COUNTIFS('S10'!$B$6:$B$13,$A13,'S10'!$E$6:$E$13,"Ambos")+COUNTIFS('Holgura'!$B$6:$B$11,$A13,'Holgura'!$E$6:$E$11,"Diego")+COUNTIFS('Holgura'!$B$6:$B$11,$A13,'Holgura'!$E$6:$E$11,"Ambos")+COUNTIFS('Entrega'!$B$6:$B$9,$A13,'Entrega'!$E$6:$E$9,"Diego")+COUNTIFS('Entrega'!$B$6:$B$9,$A13,'Entrega'!$E$6:$E$9,"Ambos")+COUNTIFS('Defensa'!$B$6:$B$10,$A13,'Defensa'!$E$6:$E$10,"Diego")+COUNTIFS('Defensa'!$B$6:$B$10,$A13,'Defensa'!$E$6:$E$10,"Ambos")</f>
        <v/>
      </c>
    </row>
    <row r="14">
      <c r="A14" s="25" t="n">
        <v>46316</v>
      </c>
      <c r="B14" s="26">
        <f>A14</f>
        <v/>
      </c>
      <c r="C14" s="21">
        <f>IF(WEEKDAY(A14,2)&gt;5,4,2)</f>
        <v/>
      </c>
      <c r="D14" s="21">
        <f>SUMIFS('S1'!$I$6:$I$32,'S1'!$B$6:$B$32,$A14,'S1'!$E$6:$E$32,"Víctor")+SUMIFS('S1'!$I$6:$I$32,'S1'!$B$6:$B$32,$A14,'S1'!$E$6:$E$32,"Ambos")+SUMIFS('S2'!$I$6:$I$23,'S2'!$B$6:$B$23,$A14,'S2'!$E$6:$E$23,"Víctor")+SUMIFS('S2'!$I$6:$I$23,'S2'!$B$6:$B$23,$A14,'S2'!$E$6:$E$23,"Ambos")+SUMIFS('S3'!$I$6:$I$24,'S3'!$B$6:$B$24,$A14,'S3'!$E$6:$E$24,"Víctor")+SUMIFS('S3'!$I$6:$I$24,'S3'!$B$6:$B$24,$A14,'S3'!$E$6:$E$24,"Ambos")+SUMIFS('S4'!$I$6:$I$22,'S4'!$B$6:$B$22,$A14,'S4'!$E$6:$E$22,"Víctor")+SUMIFS('S4'!$I$6:$I$22,'S4'!$B$6:$B$22,$A14,'S4'!$E$6:$E$22,"Ambos")+SUMIFS('S5'!$I$6:$I$20,'S5'!$B$6:$B$20,$A14,'S5'!$E$6:$E$20,"Víctor")+SUMIFS('S5'!$I$6:$I$20,'S5'!$B$6:$B$20,$A14,'S5'!$E$6:$E$20,"Ambos")+SUMIFS('S6'!$I$6:$I$17,'S6'!$B$6:$B$17,$A14,'S6'!$E$6:$E$17,"Víctor")+SUMIFS('S6'!$I$6:$I$17,'S6'!$B$6:$B$17,$A14,'S6'!$E$6:$E$17,"Ambos")+SUMIFS('S7'!$I$6:$I$19,'S7'!$B$6:$B$19,$A14,'S7'!$E$6:$E$19,"Víctor")+SUMIFS('S7'!$I$6:$I$19,'S7'!$B$6:$B$19,$A14,'S7'!$E$6:$E$19,"Ambos")+SUMIFS('S8'!$I$6:$I$23,'S8'!$B$6:$B$23,$A14,'S8'!$E$6:$E$23,"Víctor")+SUMIFS('S8'!$I$6:$I$23,'S8'!$B$6:$B$23,$A14,'S8'!$E$6:$E$23,"Ambos")+SUMIFS('S9'!$I$6:$I$15,'S9'!$B$6:$B$15,$A14,'S9'!$E$6:$E$15,"Víctor")+SUMIFS('S9'!$I$6:$I$15,'S9'!$B$6:$B$15,$A14,'S9'!$E$6:$E$15,"Ambos")+SUMIFS('S10'!$I$6:$I$13,'S10'!$B$6:$B$13,$A14,'S10'!$E$6:$E$13,"Víctor")+SUMIFS('S10'!$I$6:$I$13,'S10'!$B$6:$B$13,$A14,'S10'!$E$6:$E$13,"Ambos")+SUMIFS('Holgura'!$I$6:$I$11,'Holgura'!$B$6:$B$11,$A14,'Holgura'!$E$6:$E$11,"Víctor")+SUMIFS('Holgura'!$I$6:$I$11,'Holgura'!$B$6:$B$11,$A14,'Holgura'!$E$6:$E$11,"Ambos")+SUMIFS('Entrega'!$I$6:$I$9,'Entrega'!$B$6:$B$9,$A14,'Entrega'!$E$6:$E$9,"Víctor")+SUMIFS('Entrega'!$I$6:$I$9,'Entrega'!$B$6:$B$9,$A14,'Entrega'!$E$6:$E$9,"Ambos")+SUMIFS('Defensa'!$I$6:$I$10,'Defensa'!$B$6:$B$10,$A14,'Defensa'!$E$6:$E$10,"Víctor")+SUMIFS('Defensa'!$I$6:$I$10,'Defensa'!$B$6:$B$10,$A14,'Defensa'!$E$6:$E$10,"Ambos")</f>
        <v/>
      </c>
      <c r="E14" s="21">
        <f>SUMIFS('S1'!$I$6:$I$32,'S1'!$B$6:$B$32,$A14,'S1'!$E$6:$E$32,"Diego")+SUMIFS('S1'!$I$6:$I$32,'S1'!$B$6:$B$32,$A14,'S1'!$E$6:$E$32,"Ambos")+SUMIFS('S2'!$I$6:$I$23,'S2'!$B$6:$B$23,$A14,'S2'!$E$6:$E$23,"Diego")+SUMIFS('S2'!$I$6:$I$23,'S2'!$B$6:$B$23,$A14,'S2'!$E$6:$E$23,"Ambos")+SUMIFS('S3'!$I$6:$I$24,'S3'!$B$6:$B$24,$A14,'S3'!$E$6:$E$24,"Diego")+SUMIFS('S3'!$I$6:$I$24,'S3'!$B$6:$B$24,$A14,'S3'!$E$6:$E$24,"Ambos")+SUMIFS('S4'!$I$6:$I$22,'S4'!$B$6:$B$22,$A14,'S4'!$E$6:$E$22,"Diego")+SUMIFS('S4'!$I$6:$I$22,'S4'!$B$6:$B$22,$A14,'S4'!$E$6:$E$22,"Ambos")+SUMIFS('S5'!$I$6:$I$20,'S5'!$B$6:$B$20,$A14,'S5'!$E$6:$E$20,"Diego")+SUMIFS('S5'!$I$6:$I$20,'S5'!$B$6:$B$20,$A14,'S5'!$E$6:$E$20,"Ambos")+SUMIFS('S6'!$I$6:$I$17,'S6'!$B$6:$B$17,$A14,'S6'!$E$6:$E$17,"Diego")+SUMIFS('S6'!$I$6:$I$17,'S6'!$B$6:$B$17,$A14,'S6'!$E$6:$E$17,"Ambos")+SUMIFS('S7'!$I$6:$I$19,'S7'!$B$6:$B$19,$A14,'S7'!$E$6:$E$19,"Diego")+SUMIFS('S7'!$I$6:$I$19,'S7'!$B$6:$B$19,$A14,'S7'!$E$6:$E$19,"Ambos")+SUMIFS('S8'!$I$6:$I$23,'S8'!$B$6:$B$23,$A14,'S8'!$E$6:$E$23,"Diego")+SUMIFS('S8'!$I$6:$I$23,'S8'!$B$6:$B$23,$A14,'S8'!$E$6:$E$23,"Ambos")+SUMIFS('S9'!$I$6:$I$15,'S9'!$B$6:$B$15,$A14,'S9'!$E$6:$E$15,"Diego")+SUMIFS('S9'!$I$6:$I$15,'S9'!$B$6:$B$15,$A14,'S9'!$E$6:$E$15,"Ambos")+SUMIFS('S10'!$I$6:$I$13,'S10'!$B$6:$B$13,$A14,'S10'!$E$6:$E$13,"Diego")+SUMIFS('S10'!$I$6:$I$13,'S10'!$B$6:$B$13,$A14,'S10'!$E$6:$E$13,"Ambos")+SUMIFS('Holgura'!$I$6:$I$11,'Holgura'!$B$6:$B$11,$A14,'Holgura'!$E$6:$E$11,"Diego")+SUMIFS('Holgura'!$I$6:$I$11,'Holgura'!$B$6:$B$11,$A14,'Holgura'!$E$6:$E$11,"Ambos")+SUMIFS('Entrega'!$I$6:$I$9,'Entrega'!$B$6:$B$9,$A14,'Entrega'!$E$6:$E$9,"Diego")+SUMIFS('Entrega'!$I$6:$I$9,'Entrega'!$B$6:$B$9,$A14,'Entrega'!$E$6:$E$9,"Ambos")+SUMIFS('Defensa'!$I$6:$I$10,'Defensa'!$B$6:$B$10,$A14,'Defensa'!$E$6:$E$10,"Diego")+SUMIFS('Defensa'!$I$6:$I$10,'Defensa'!$B$6:$B$10,$A14,'Defensa'!$E$6:$E$10,"Ambos")</f>
        <v/>
      </c>
      <c r="F14" s="21">
        <f>COUNTIFS('S1'!$B$6:$B$32,$A14,'S1'!$E$6:$E$32,"Víctor")+COUNTIFS('S1'!$B$6:$B$32,$A14,'S1'!$E$6:$E$32,"Ambos")+COUNTIFS('S2'!$B$6:$B$23,$A14,'S2'!$E$6:$E$23,"Víctor")+COUNTIFS('S2'!$B$6:$B$23,$A14,'S2'!$E$6:$E$23,"Ambos")+COUNTIFS('S3'!$B$6:$B$24,$A14,'S3'!$E$6:$E$24,"Víctor")+COUNTIFS('S3'!$B$6:$B$24,$A14,'S3'!$E$6:$E$24,"Ambos")+COUNTIFS('S4'!$B$6:$B$22,$A14,'S4'!$E$6:$E$22,"Víctor")+COUNTIFS('S4'!$B$6:$B$22,$A14,'S4'!$E$6:$E$22,"Ambos")+COUNTIFS('S5'!$B$6:$B$20,$A14,'S5'!$E$6:$E$20,"Víctor")+COUNTIFS('S5'!$B$6:$B$20,$A14,'S5'!$E$6:$E$20,"Ambos")+COUNTIFS('S6'!$B$6:$B$17,$A14,'S6'!$E$6:$E$17,"Víctor")+COUNTIFS('S6'!$B$6:$B$17,$A14,'S6'!$E$6:$E$17,"Ambos")+COUNTIFS('S7'!$B$6:$B$19,$A14,'S7'!$E$6:$E$19,"Víctor")+COUNTIFS('S7'!$B$6:$B$19,$A14,'S7'!$E$6:$E$19,"Ambos")+COUNTIFS('S8'!$B$6:$B$23,$A14,'S8'!$E$6:$E$23,"Víctor")+COUNTIFS('S8'!$B$6:$B$23,$A14,'S8'!$E$6:$E$23,"Ambos")+COUNTIFS('S9'!$B$6:$B$15,$A14,'S9'!$E$6:$E$15,"Víctor")+COUNTIFS('S9'!$B$6:$B$15,$A14,'S9'!$E$6:$E$15,"Ambos")+COUNTIFS('S10'!$B$6:$B$13,$A14,'S10'!$E$6:$E$13,"Víctor")+COUNTIFS('S10'!$B$6:$B$13,$A14,'S10'!$E$6:$E$13,"Ambos")+COUNTIFS('Holgura'!$B$6:$B$11,$A14,'Holgura'!$E$6:$E$11,"Víctor")+COUNTIFS('Holgura'!$B$6:$B$11,$A14,'Holgura'!$E$6:$E$11,"Ambos")+COUNTIFS('Entrega'!$B$6:$B$9,$A14,'Entrega'!$E$6:$E$9,"Víctor")+COUNTIFS('Entrega'!$B$6:$B$9,$A14,'Entrega'!$E$6:$E$9,"Ambos")+COUNTIFS('Defensa'!$B$6:$B$10,$A14,'Defensa'!$E$6:$E$10,"Víctor")+COUNTIFS('Defensa'!$B$6:$B$10,$A14,'Defensa'!$E$6:$E$10,"Ambos")</f>
        <v/>
      </c>
      <c r="G14" s="21">
        <f>COUNTIFS('S1'!$B$6:$B$32,$A14,'S1'!$E$6:$E$32,"Diego")+COUNTIFS('S1'!$B$6:$B$32,$A14,'S1'!$E$6:$E$32,"Ambos")+COUNTIFS('S2'!$B$6:$B$23,$A14,'S2'!$E$6:$E$23,"Diego")+COUNTIFS('S2'!$B$6:$B$23,$A14,'S2'!$E$6:$E$23,"Ambos")+COUNTIFS('S3'!$B$6:$B$24,$A14,'S3'!$E$6:$E$24,"Diego")+COUNTIFS('S3'!$B$6:$B$24,$A14,'S3'!$E$6:$E$24,"Ambos")+COUNTIFS('S4'!$B$6:$B$22,$A14,'S4'!$E$6:$E$22,"Diego")+COUNTIFS('S4'!$B$6:$B$22,$A14,'S4'!$E$6:$E$22,"Ambos")+COUNTIFS('S5'!$B$6:$B$20,$A14,'S5'!$E$6:$E$20,"Diego")+COUNTIFS('S5'!$B$6:$B$20,$A14,'S5'!$E$6:$E$20,"Ambos")+COUNTIFS('S6'!$B$6:$B$17,$A14,'S6'!$E$6:$E$17,"Diego")+COUNTIFS('S6'!$B$6:$B$17,$A14,'S6'!$E$6:$E$17,"Ambos")+COUNTIFS('S7'!$B$6:$B$19,$A14,'S7'!$E$6:$E$19,"Diego")+COUNTIFS('S7'!$B$6:$B$19,$A14,'S7'!$E$6:$E$19,"Ambos")+COUNTIFS('S8'!$B$6:$B$23,$A14,'S8'!$E$6:$E$23,"Diego")+COUNTIFS('S8'!$B$6:$B$23,$A14,'S8'!$E$6:$E$23,"Ambos")+COUNTIFS('S9'!$B$6:$B$15,$A14,'S9'!$E$6:$E$15,"Diego")+COUNTIFS('S9'!$B$6:$B$15,$A14,'S9'!$E$6:$E$15,"Ambos")+COUNTIFS('S10'!$B$6:$B$13,$A14,'S10'!$E$6:$E$13,"Diego")+COUNTIFS('S10'!$B$6:$B$13,$A14,'S10'!$E$6:$E$13,"Ambos")+COUNTIFS('Holgura'!$B$6:$B$11,$A14,'Holgura'!$E$6:$E$11,"Diego")+COUNTIFS('Holgura'!$B$6:$B$11,$A14,'Holgura'!$E$6:$E$11,"Ambos")+COUNTIFS('Entrega'!$B$6:$B$9,$A14,'Entrega'!$E$6:$E$9,"Diego")+COUNTIFS('Entrega'!$B$6:$B$9,$A14,'Entrega'!$E$6:$E$9,"Ambos")+COUNTIFS('Defensa'!$B$6:$B$10,$A14,'Defensa'!$E$6:$E$10,"Diego")+COUNTIFS('Defensa'!$B$6:$B$10,$A14,'Defensa'!$E$6:$E$10,"Ambos")</f>
        <v/>
      </c>
    </row>
    <row r="15">
      <c r="A15" s="25" t="n">
        <v>46317</v>
      </c>
      <c r="B15" s="26">
        <f>A15</f>
        <v/>
      </c>
      <c r="C15" s="21">
        <f>IF(WEEKDAY(A15,2)&gt;5,4,2)</f>
        <v/>
      </c>
      <c r="D15" s="21">
        <f>SUMIFS('S1'!$I$6:$I$32,'S1'!$B$6:$B$32,$A15,'S1'!$E$6:$E$32,"Víctor")+SUMIFS('S1'!$I$6:$I$32,'S1'!$B$6:$B$32,$A15,'S1'!$E$6:$E$32,"Ambos")+SUMIFS('S2'!$I$6:$I$23,'S2'!$B$6:$B$23,$A15,'S2'!$E$6:$E$23,"Víctor")+SUMIFS('S2'!$I$6:$I$23,'S2'!$B$6:$B$23,$A15,'S2'!$E$6:$E$23,"Ambos")+SUMIFS('S3'!$I$6:$I$24,'S3'!$B$6:$B$24,$A15,'S3'!$E$6:$E$24,"Víctor")+SUMIFS('S3'!$I$6:$I$24,'S3'!$B$6:$B$24,$A15,'S3'!$E$6:$E$24,"Ambos")+SUMIFS('S4'!$I$6:$I$22,'S4'!$B$6:$B$22,$A15,'S4'!$E$6:$E$22,"Víctor")+SUMIFS('S4'!$I$6:$I$22,'S4'!$B$6:$B$22,$A15,'S4'!$E$6:$E$22,"Ambos")+SUMIFS('S5'!$I$6:$I$20,'S5'!$B$6:$B$20,$A15,'S5'!$E$6:$E$20,"Víctor")+SUMIFS('S5'!$I$6:$I$20,'S5'!$B$6:$B$20,$A15,'S5'!$E$6:$E$20,"Ambos")+SUMIFS('S6'!$I$6:$I$17,'S6'!$B$6:$B$17,$A15,'S6'!$E$6:$E$17,"Víctor")+SUMIFS('S6'!$I$6:$I$17,'S6'!$B$6:$B$17,$A15,'S6'!$E$6:$E$17,"Ambos")+SUMIFS('S7'!$I$6:$I$19,'S7'!$B$6:$B$19,$A15,'S7'!$E$6:$E$19,"Víctor")+SUMIFS('S7'!$I$6:$I$19,'S7'!$B$6:$B$19,$A15,'S7'!$E$6:$E$19,"Ambos")+SUMIFS('S8'!$I$6:$I$23,'S8'!$B$6:$B$23,$A15,'S8'!$E$6:$E$23,"Víctor")+SUMIFS('S8'!$I$6:$I$23,'S8'!$B$6:$B$23,$A15,'S8'!$E$6:$E$23,"Ambos")+SUMIFS('S9'!$I$6:$I$15,'S9'!$B$6:$B$15,$A15,'S9'!$E$6:$E$15,"Víctor")+SUMIFS('S9'!$I$6:$I$15,'S9'!$B$6:$B$15,$A15,'S9'!$E$6:$E$15,"Ambos")+SUMIFS('S10'!$I$6:$I$13,'S10'!$B$6:$B$13,$A15,'S10'!$E$6:$E$13,"Víctor")+SUMIFS('S10'!$I$6:$I$13,'S10'!$B$6:$B$13,$A15,'S10'!$E$6:$E$13,"Ambos")+SUMIFS('Holgura'!$I$6:$I$11,'Holgura'!$B$6:$B$11,$A15,'Holgura'!$E$6:$E$11,"Víctor")+SUMIFS('Holgura'!$I$6:$I$11,'Holgura'!$B$6:$B$11,$A15,'Holgura'!$E$6:$E$11,"Ambos")+SUMIFS('Entrega'!$I$6:$I$9,'Entrega'!$B$6:$B$9,$A15,'Entrega'!$E$6:$E$9,"Víctor")+SUMIFS('Entrega'!$I$6:$I$9,'Entrega'!$B$6:$B$9,$A15,'Entrega'!$E$6:$E$9,"Ambos")+SUMIFS('Defensa'!$I$6:$I$10,'Defensa'!$B$6:$B$10,$A15,'Defensa'!$E$6:$E$10,"Víctor")+SUMIFS('Defensa'!$I$6:$I$10,'Defensa'!$B$6:$B$10,$A15,'Defensa'!$E$6:$E$10,"Ambos")</f>
        <v/>
      </c>
      <c r="E15" s="21">
        <f>SUMIFS('S1'!$I$6:$I$32,'S1'!$B$6:$B$32,$A15,'S1'!$E$6:$E$32,"Diego")+SUMIFS('S1'!$I$6:$I$32,'S1'!$B$6:$B$32,$A15,'S1'!$E$6:$E$32,"Ambos")+SUMIFS('S2'!$I$6:$I$23,'S2'!$B$6:$B$23,$A15,'S2'!$E$6:$E$23,"Diego")+SUMIFS('S2'!$I$6:$I$23,'S2'!$B$6:$B$23,$A15,'S2'!$E$6:$E$23,"Ambos")+SUMIFS('S3'!$I$6:$I$24,'S3'!$B$6:$B$24,$A15,'S3'!$E$6:$E$24,"Diego")+SUMIFS('S3'!$I$6:$I$24,'S3'!$B$6:$B$24,$A15,'S3'!$E$6:$E$24,"Ambos")+SUMIFS('S4'!$I$6:$I$22,'S4'!$B$6:$B$22,$A15,'S4'!$E$6:$E$22,"Diego")+SUMIFS('S4'!$I$6:$I$22,'S4'!$B$6:$B$22,$A15,'S4'!$E$6:$E$22,"Ambos")+SUMIFS('S5'!$I$6:$I$20,'S5'!$B$6:$B$20,$A15,'S5'!$E$6:$E$20,"Diego")+SUMIFS('S5'!$I$6:$I$20,'S5'!$B$6:$B$20,$A15,'S5'!$E$6:$E$20,"Ambos")+SUMIFS('S6'!$I$6:$I$17,'S6'!$B$6:$B$17,$A15,'S6'!$E$6:$E$17,"Diego")+SUMIFS('S6'!$I$6:$I$17,'S6'!$B$6:$B$17,$A15,'S6'!$E$6:$E$17,"Ambos")+SUMIFS('S7'!$I$6:$I$19,'S7'!$B$6:$B$19,$A15,'S7'!$E$6:$E$19,"Diego")+SUMIFS('S7'!$I$6:$I$19,'S7'!$B$6:$B$19,$A15,'S7'!$E$6:$E$19,"Ambos")+SUMIFS('S8'!$I$6:$I$23,'S8'!$B$6:$B$23,$A15,'S8'!$E$6:$E$23,"Diego")+SUMIFS('S8'!$I$6:$I$23,'S8'!$B$6:$B$23,$A15,'S8'!$E$6:$E$23,"Ambos")+SUMIFS('S9'!$I$6:$I$15,'S9'!$B$6:$B$15,$A15,'S9'!$E$6:$E$15,"Diego")+SUMIFS('S9'!$I$6:$I$15,'S9'!$B$6:$B$15,$A15,'S9'!$E$6:$E$15,"Ambos")+SUMIFS('S10'!$I$6:$I$13,'S10'!$B$6:$B$13,$A15,'S10'!$E$6:$E$13,"Diego")+SUMIFS('S10'!$I$6:$I$13,'S10'!$B$6:$B$13,$A15,'S10'!$E$6:$E$13,"Ambos")+SUMIFS('Holgura'!$I$6:$I$11,'Holgura'!$B$6:$B$11,$A15,'Holgura'!$E$6:$E$11,"Diego")+SUMIFS('Holgura'!$I$6:$I$11,'Holgura'!$B$6:$B$11,$A15,'Holgura'!$E$6:$E$11,"Ambos")+SUMIFS('Entrega'!$I$6:$I$9,'Entrega'!$B$6:$B$9,$A15,'Entrega'!$E$6:$E$9,"Diego")+SUMIFS('Entrega'!$I$6:$I$9,'Entrega'!$B$6:$B$9,$A15,'Entrega'!$E$6:$E$9,"Ambos")+SUMIFS('Defensa'!$I$6:$I$10,'Defensa'!$B$6:$B$10,$A15,'Defensa'!$E$6:$E$10,"Diego")+SUMIFS('Defensa'!$I$6:$I$10,'Defensa'!$B$6:$B$10,$A15,'Defensa'!$E$6:$E$10,"Ambos")</f>
        <v/>
      </c>
      <c r="F15" s="21">
        <f>COUNTIFS('S1'!$B$6:$B$32,$A15,'S1'!$E$6:$E$32,"Víctor")+COUNTIFS('S1'!$B$6:$B$32,$A15,'S1'!$E$6:$E$32,"Ambos")+COUNTIFS('S2'!$B$6:$B$23,$A15,'S2'!$E$6:$E$23,"Víctor")+COUNTIFS('S2'!$B$6:$B$23,$A15,'S2'!$E$6:$E$23,"Ambos")+COUNTIFS('S3'!$B$6:$B$24,$A15,'S3'!$E$6:$E$24,"Víctor")+COUNTIFS('S3'!$B$6:$B$24,$A15,'S3'!$E$6:$E$24,"Ambos")+COUNTIFS('S4'!$B$6:$B$22,$A15,'S4'!$E$6:$E$22,"Víctor")+COUNTIFS('S4'!$B$6:$B$22,$A15,'S4'!$E$6:$E$22,"Ambos")+COUNTIFS('S5'!$B$6:$B$20,$A15,'S5'!$E$6:$E$20,"Víctor")+COUNTIFS('S5'!$B$6:$B$20,$A15,'S5'!$E$6:$E$20,"Ambos")+COUNTIFS('S6'!$B$6:$B$17,$A15,'S6'!$E$6:$E$17,"Víctor")+COUNTIFS('S6'!$B$6:$B$17,$A15,'S6'!$E$6:$E$17,"Ambos")+COUNTIFS('S7'!$B$6:$B$19,$A15,'S7'!$E$6:$E$19,"Víctor")+COUNTIFS('S7'!$B$6:$B$19,$A15,'S7'!$E$6:$E$19,"Ambos")+COUNTIFS('S8'!$B$6:$B$23,$A15,'S8'!$E$6:$E$23,"Víctor")+COUNTIFS('S8'!$B$6:$B$23,$A15,'S8'!$E$6:$E$23,"Ambos")+COUNTIFS('S9'!$B$6:$B$15,$A15,'S9'!$E$6:$E$15,"Víctor")+COUNTIFS('S9'!$B$6:$B$15,$A15,'S9'!$E$6:$E$15,"Ambos")+COUNTIFS('S10'!$B$6:$B$13,$A15,'S10'!$E$6:$E$13,"Víctor")+COUNTIFS('S10'!$B$6:$B$13,$A15,'S10'!$E$6:$E$13,"Ambos")+COUNTIFS('Holgura'!$B$6:$B$11,$A15,'Holgura'!$E$6:$E$11,"Víctor")+COUNTIFS('Holgura'!$B$6:$B$11,$A15,'Holgura'!$E$6:$E$11,"Ambos")+COUNTIFS('Entrega'!$B$6:$B$9,$A15,'Entrega'!$E$6:$E$9,"Víctor")+COUNTIFS('Entrega'!$B$6:$B$9,$A15,'Entrega'!$E$6:$E$9,"Ambos")+COUNTIFS('Defensa'!$B$6:$B$10,$A15,'Defensa'!$E$6:$E$10,"Víctor")+COUNTIFS('Defensa'!$B$6:$B$10,$A15,'Defensa'!$E$6:$E$10,"Ambos")</f>
        <v/>
      </c>
      <c r="G15" s="21">
        <f>COUNTIFS('S1'!$B$6:$B$32,$A15,'S1'!$E$6:$E$32,"Diego")+COUNTIFS('S1'!$B$6:$B$32,$A15,'S1'!$E$6:$E$32,"Ambos")+COUNTIFS('S2'!$B$6:$B$23,$A15,'S2'!$E$6:$E$23,"Diego")+COUNTIFS('S2'!$B$6:$B$23,$A15,'S2'!$E$6:$E$23,"Ambos")+COUNTIFS('S3'!$B$6:$B$24,$A15,'S3'!$E$6:$E$24,"Diego")+COUNTIFS('S3'!$B$6:$B$24,$A15,'S3'!$E$6:$E$24,"Ambos")+COUNTIFS('S4'!$B$6:$B$22,$A15,'S4'!$E$6:$E$22,"Diego")+COUNTIFS('S4'!$B$6:$B$22,$A15,'S4'!$E$6:$E$22,"Ambos")+COUNTIFS('S5'!$B$6:$B$20,$A15,'S5'!$E$6:$E$20,"Diego")+COUNTIFS('S5'!$B$6:$B$20,$A15,'S5'!$E$6:$E$20,"Ambos")+COUNTIFS('S6'!$B$6:$B$17,$A15,'S6'!$E$6:$E$17,"Diego")+COUNTIFS('S6'!$B$6:$B$17,$A15,'S6'!$E$6:$E$17,"Ambos")+COUNTIFS('S7'!$B$6:$B$19,$A15,'S7'!$E$6:$E$19,"Diego")+COUNTIFS('S7'!$B$6:$B$19,$A15,'S7'!$E$6:$E$19,"Ambos")+COUNTIFS('S8'!$B$6:$B$23,$A15,'S8'!$E$6:$E$23,"Diego")+COUNTIFS('S8'!$B$6:$B$23,$A15,'S8'!$E$6:$E$23,"Ambos")+COUNTIFS('S9'!$B$6:$B$15,$A15,'S9'!$E$6:$E$15,"Diego")+COUNTIFS('S9'!$B$6:$B$15,$A15,'S9'!$E$6:$E$15,"Ambos")+COUNTIFS('S10'!$B$6:$B$13,$A15,'S10'!$E$6:$E$13,"Diego")+COUNTIFS('S10'!$B$6:$B$13,$A15,'S10'!$E$6:$E$13,"Ambos")+COUNTIFS('Holgura'!$B$6:$B$11,$A15,'Holgura'!$E$6:$E$11,"Diego")+COUNTIFS('Holgura'!$B$6:$B$11,$A15,'Holgura'!$E$6:$E$11,"Ambos")+COUNTIFS('Entrega'!$B$6:$B$9,$A15,'Entrega'!$E$6:$E$9,"Diego")+COUNTIFS('Entrega'!$B$6:$B$9,$A15,'Entrega'!$E$6:$E$9,"Ambos")+COUNTIFS('Defensa'!$B$6:$B$10,$A15,'Defensa'!$E$6:$E$10,"Diego")+COUNTIFS('Defensa'!$B$6:$B$10,$A15,'Defensa'!$E$6:$E$10,"Ambos")</f>
        <v/>
      </c>
    </row>
    <row r="16">
      <c r="A16" s="25" t="n">
        <v>46318</v>
      </c>
      <c r="B16" s="26">
        <f>A16</f>
        <v/>
      </c>
      <c r="C16" s="21">
        <f>IF(WEEKDAY(A16,2)&gt;5,4,2)</f>
        <v/>
      </c>
      <c r="D16" s="21">
        <f>SUMIFS('S1'!$I$6:$I$32,'S1'!$B$6:$B$32,$A16,'S1'!$E$6:$E$32,"Víctor")+SUMIFS('S1'!$I$6:$I$32,'S1'!$B$6:$B$32,$A16,'S1'!$E$6:$E$32,"Ambos")+SUMIFS('S2'!$I$6:$I$23,'S2'!$B$6:$B$23,$A16,'S2'!$E$6:$E$23,"Víctor")+SUMIFS('S2'!$I$6:$I$23,'S2'!$B$6:$B$23,$A16,'S2'!$E$6:$E$23,"Ambos")+SUMIFS('S3'!$I$6:$I$24,'S3'!$B$6:$B$24,$A16,'S3'!$E$6:$E$24,"Víctor")+SUMIFS('S3'!$I$6:$I$24,'S3'!$B$6:$B$24,$A16,'S3'!$E$6:$E$24,"Ambos")+SUMIFS('S4'!$I$6:$I$22,'S4'!$B$6:$B$22,$A16,'S4'!$E$6:$E$22,"Víctor")+SUMIFS('S4'!$I$6:$I$22,'S4'!$B$6:$B$22,$A16,'S4'!$E$6:$E$22,"Ambos")+SUMIFS('S5'!$I$6:$I$20,'S5'!$B$6:$B$20,$A16,'S5'!$E$6:$E$20,"Víctor")+SUMIFS('S5'!$I$6:$I$20,'S5'!$B$6:$B$20,$A16,'S5'!$E$6:$E$20,"Ambos")+SUMIFS('S6'!$I$6:$I$17,'S6'!$B$6:$B$17,$A16,'S6'!$E$6:$E$17,"Víctor")+SUMIFS('S6'!$I$6:$I$17,'S6'!$B$6:$B$17,$A16,'S6'!$E$6:$E$17,"Ambos")+SUMIFS('S7'!$I$6:$I$19,'S7'!$B$6:$B$19,$A16,'S7'!$E$6:$E$19,"Víctor")+SUMIFS('S7'!$I$6:$I$19,'S7'!$B$6:$B$19,$A16,'S7'!$E$6:$E$19,"Ambos")+SUMIFS('S8'!$I$6:$I$23,'S8'!$B$6:$B$23,$A16,'S8'!$E$6:$E$23,"Víctor")+SUMIFS('S8'!$I$6:$I$23,'S8'!$B$6:$B$23,$A16,'S8'!$E$6:$E$23,"Ambos")+SUMIFS('S9'!$I$6:$I$15,'S9'!$B$6:$B$15,$A16,'S9'!$E$6:$E$15,"Víctor")+SUMIFS('S9'!$I$6:$I$15,'S9'!$B$6:$B$15,$A16,'S9'!$E$6:$E$15,"Ambos")+SUMIFS('S10'!$I$6:$I$13,'S10'!$B$6:$B$13,$A16,'S10'!$E$6:$E$13,"Víctor")+SUMIFS('S10'!$I$6:$I$13,'S10'!$B$6:$B$13,$A16,'S10'!$E$6:$E$13,"Ambos")+SUMIFS('Holgura'!$I$6:$I$11,'Holgura'!$B$6:$B$11,$A16,'Holgura'!$E$6:$E$11,"Víctor")+SUMIFS('Holgura'!$I$6:$I$11,'Holgura'!$B$6:$B$11,$A16,'Holgura'!$E$6:$E$11,"Ambos")+SUMIFS('Entrega'!$I$6:$I$9,'Entrega'!$B$6:$B$9,$A16,'Entrega'!$E$6:$E$9,"Víctor")+SUMIFS('Entrega'!$I$6:$I$9,'Entrega'!$B$6:$B$9,$A16,'Entrega'!$E$6:$E$9,"Ambos")+SUMIFS('Defensa'!$I$6:$I$10,'Defensa'!$B$6:$B$10,$A16,'Defensa'!$E$6:$E$10,"Víctor")+SUMIFS('Defensa'!$I$6:$I$10,'Defensa'!$B$6:$B$10,$A16,'Defensa'!$E$6:$E$10,"Ambos")</f>
        <v/>
      </c>
      <c r="E16" s="21">
        <f>SUMIFS('S1'!$I$6:$I$32,'S1'!$B$6:$B$32,$A16,'S1'!$E$6:$E$32,"Diego")+SUMIFS('S1'!$I$6:$I$32,'S1'!$B$6:$B$32,$A16,'S1'!$E$6:$E$32,"Ambos")+SUMIFS('S2'!$I$6:$I$23,'S2'!$B$6:$B$23,$A16,'S2'!$E$6:$E$23,"Diego")+SUMIFS('S2'!$I$6:$I$23,'S2'!$B$6:$B$23,$A16,'S2'!$E$6:$E$23,"Ambos")+SUMIFS('S3'!$I$6:$I$24,'S3'!$B$6:$B$24,$A16,'S3'!$E$6:$E$24,"Diego")+SUMIFS('S3'!$I$6:$I$24,'S3'!$B$6:$B$24,$A16,'S3'!$E$6:$E$24,"Ambos")+SUMIFS('S4'!$I$6:$I$22,'S4'!$B$6:$B$22,$A16,'S4'!$E$6:$E$22,"Diego")+SUMIFS('S4'!$I$6:$I$22,'S4'!$B$6:$B$22,$A16,'S4'!$E$6:$E$22,"Ambos")+SUMIFS('S5'!$I$6:$I$20,'S5'!$B$6:$B$20,$A16,'S5'!$E$6:$E$20,"Diego")+SUMIFS('S5'!$I$6:$I$20,'S5'!$B$6:$B$20,$A16,'S5'!$E$6:$E$20,"Ambos")+SUMIFS('S6'!$I$6:$I$17,'S6'!$B$6:$B$17,$A16,'S6'!$E$6:$E$17,"Diego")+SUMIFS('S6'!$I$6:$I$17,'S6'!$B$6:$B$17,$A16,'S6'!$E$6:$E$17,"Ambos")+SUMIFS('S7'!$I$6:$I$19,'S7'!$B$6:$B$19,$A16,'S7'!$E$6:$E$19,"Diego")+SUMIFS('S7'!$I$6:$I$19,'S7'!$B$6:$B$19,$A16,'S7'!$E$6:$E$19,"Ambos")+SUMIFS('S8'!$I$6:$I$23,'S8'!$B$6:$B$23,$A16,'S8'!$E$6:$E$23,"Diego")+SUMIFS('S8'!$I$6:$I$23,'S8'!$B$6:$B$23,$A16,'S8'!$E$6:$E$23,"Ambos")+SUMIFS('S9'!$I$6:$I$15,'S9'!$B$6:$B$15,$A16,'S9'!$E$6:$E$15,"Diego")+SUMIFS('S9'!$I$6:$I$15,'S9'!$B$6:$B$15,$A16,'S9'!$E$6:$E$15,"Ambos")+SUMIFS('S10'!$I$6:$I$13,'S10'!$B$6:$B$13,$A16,'S10'!$E$6:$E$13,"Diego")+SUMIFS('S10'!$I$6:$I$13,'S10'!$B$6:$B$13,$A16,'S10'!$E$6:$E$13,"Ambos")+SUMIFS('Holgura'!$I$6:$I$11,'Holgura'!$B$6:$B$11,$A16,'Holgura'!$E$6:$E$11,"Diego")+SUMIFS('Holgura'!$I$6:$I$11,'Holgura'!$B$6:$B$11,$A16,'Holgura'!$E$6:$E$11,"Ambos")+SUMIFS('Entrega'!$I$6:$I$9,'Entrega'!$B$6:$B$9,$A16,'Entrega'!$E$6:$E$9,"Diego")+SUMIFS('Entrega'!$I$6:$I$9,'Entrega'!$B$6:$B$9,$A16,'Entrega'!$E$6:$E$9,"Ambos")+SUMIFS('Defensa'!$I$6:$I$10,'Defensa'!$B$6:$B$10,$A16,'Defensa'!$E$6:$E$10,"Diego")+SUMIFS('Defensa'!$I$6:$I$10,'Defensa'!$B$6:$B$10,$A16,'Defensa'!$E$6:$E$10,"Ambos")</f>
        <v/>
      </c>
      <c r="F16" s="21">
        <f>COUNTIFS('S1'!$B$6:$B$32,$A16,'S1'!$E$6:$E$32,"Víctor")+COUNTIFS('S1'!$B$6:$B$32,$A16,'S1'!$E$6:$E$32,"Ambos")+COUNTIFS('S2'!$B$6:$B$23,$A16,'S2'!$E$6:$E$23,"Víctor")+COUNTIFS('S2'!$B$6:$B$23,$A16,'S2'!$E$6:$E$23,"Ambos")+COUNTIFS('S3'!$B$6:$B$24,$A16,'S3'!$E$6:$E$24,"Víctor")+COUNTIFS('S3'!$B$6:$B$24,$A16,'S3'!$E$6:$E$24,"Ambos")+COUNTIFS('S4'!$B$6:$B$22,$A16,'S4'!$E$6:$E$22,"Víctor")+COUNTIFS('S4'!$B$6:$B$22,$A16,'S4'!$E$6:$E$22,"Ambos")+COUNTIFS('S5'!$B$6:$B$20,$A16,'S5'!$E$6:$E$20,"Víctor")+COUNTIFS('S5'!$B$6:$B$20,$A16,'S5'!$E$6:$E$20,"Ambos")+COUNTIFS('S6'!$B$6:$B$17,$A16,'S6'!$E$6:$E$17,"Víctor")+COUNTIFS('S6'!$B$6:$B$17,$A16,'S6'!$E$6:$E$17,"Ambos")+COUNTIFS('S7'!$B$6:$B$19,$A16,'S7'!$E$6:$E$19,"Víctor")+COUNTIFS('S7'!$B$6:$B$19,$A16,'S7'!$E$6:$E$19,"Ambos")+COUNTIFS('S8'!$B$6:$B$23,$A16,'S8'!$E$6:$E$23,"Víctor")+COUNTIFS('S8'!$B$6:$B$23,$A16,'S8'!$E$6:$E$23,"Ambos")+COUNTIFS('S9'!$B$6:$B$15,$A16,'S9'!$E$6:$E$15,"Víctor")+COUNTIFS('S9'!$B$6:$B$15,$A16,'S9'!$E$6:$E$15,"Ambos")+COUNTIFS('S10'!$B$6:$B$13,$A16,'S10'!$E$6:$E$13,"Víctor")+COUNTIFS('S10'!$B$6:$B$13,$A16,'S10'!$E$6:$E$13,"Ambos")+COUNTIFS('Holgura'!$B$6:$B$11,$A16,'Holgura'!$E$6:$E$11,"Víctor")+COUNTIFS('Holgura'!$B$6:$B$11,$A16,'Holgura'!$E$6:$E$11,"Ambos")+COUNTIFS('Entrega'!$B$6:$B$9,$A16,'Entrega'!$E$6:$E$9,"Víctor")+COUNTIFS('Entrega'!$B$6:$B$9,$A16,'Entrega'!$E$6:$E$9,"Ambos")+COUNTIFS('Defensa'!$B$6:$B$10,$A16,'Defensa'!$E$6:$E$10,"Víctor")+COUNTIFS('Defensa'!$B$6:$B$10,$A16,'Defensa'!$E$6:$E$10,"Ambos")</f>
        <v/>
      </c>
      <c r="G16" s="21">
        <f>COUNTIFS('S1'!$B$6:$B$32,$A16,'S1'!$E$6:$E$32,"Diego")+COUNTIFS('S1'!$B$6:$B$32,$A16,'S1'!$E$6:$E$32,"Ambos")+COUNTIFS('S2'!$B$6:$B$23,$A16,'S2'!$E$6:$E$23,"Diego")+COUNTIFS('S2'!$B$6:$B$23,$A16,'S2'!$E$6:$E$23,"Ambos")+COUNTIFS('S3'!$B$6:$B$24,$A16,'S3'!$E$6:$E$24,"Diego")+COUNTIFS('S3'!$B$6:$B$24,$A16,'S3'!$E$6:$E$24,"Ambos")+COUNTIFS('S4'!$B$6:$B$22,$A16,'S4'!$E$6:$E$22,"Diego")+COUNTIFS('S4'!$B$6:$B$22,$A16,'S4'!$E$6:$E$22,"Ambos")+COUNTIFS('S5'!$B$6:$B$20,$A16,'S5'!$E$6:$E$20,"Diego")+COUNTIFS('S5'!$B$6:$B$20,$A16,'S5'!$E$6:$E$20,"Ambos")+COUNTIFS('S6'!$B$6:$B$17,$A16,'S6'!$E$6:$E$17,"Diego")+COUNTIFS('S6'!$B$6:$B$17,$A16,'S6'!$E$6:$E$17,"Ambos")+COUNTIFS('S7'!$B$6:$B$19,$A16,'S7'!$E$6:$E$19,"Diego")+COUNTIFS('S7'!$B$6:$B$19,$A16,'S7'!$E$6:$E$19,"Ambos")+COUNTIFS('S8'!$B$6:$B$23,$A16,'S8'!$E$6:$E$23,"Diego")+COUNTIFS('S8'!$B$6:$B$23,$A16,'S8'!$E$6:$E$23,"Ambos")+COUNTIFS('S9'!$B$6:$B$15,$A16,'S9'!$E$6:$E$15,"Diego")+COUNTIFS('S9'!$B$6:$B$15,$A16,'S9'!$E$6:$E$15,"Ambos")+COUNTIFS('S10'!$B$6:$B$13,$A16,'S10'!$E$6:$E$13,"Diego")+COUNTIFS('S10'!$B$6:$B$13,$A16,'S10'!$E$6:$E$13,"Ambos")+COUNTIFS('Holgura'!$B$6:$B$11,$A16,'Holgura'!$E$6:$E$11,"Diego")+COUNTIFS('Holgura'!$B$6:$B$11,$A16,'Holgura'!$E$6:$E$11,"Ambos")+COUNTIFS('Entrega'!$B$6:$B$9,$A16,'Entrega'!$E$6:$E$9,"Diego")+COUNTIFS('Entrega'!$B$6:$B$9,$A16,'Entrega'!$E$6:$E$9,"Ambos")+COUNTIFS('Defensa'!$B$6:$B$10,$A16,'Defensa'!$E$6:$E$10,"Diego")+COUNTIFS('Defensa'!$B$6:$B$10,$A16,'Defensa'!$E$6:$E$10,"Ambos")</f>
        <v/>
      </c>
    </row>
    <row r="17">
      <c r="A17" s="25" t="n">
        <v>46319</v>
      </c>
      <c r="B17" s="26">
        <f>A17</f>
        <v/>
      </c>
      <c r="C17" s="21">
        <f>IF(WEEKDAY(A17,2)&gt;5,4,2)</f>
        <v/>
      </c>
      <c r="D17" s="21">
        <f>SUMIFS('S1'!$I$6:$I$32,'S1'!$B$6:$B$32,$A17,'S1'!$E$6:$E$32,"Víctor")+SUMIFS('S1'!$I$6:$I$32,'S1'!$B$6:$B$32,$A17,'S1'!$E$6:$E$32,"Ambos")+SUMIFS('S2'!$I$6:$I$23,'S2'!$B$6:$B$23,$A17,'S2'!$E$6:$E$23,"Víctor")+SUMIFS('S2'!$I$6:$I$23,'S2'!$B$6:$B$23,$A17,'S2'!$E$6:$E$23,"Ambos")+SUMIFS('S3'!$I$6:$I$24,'S3'!$B$6:$B$24,$A17,'S3'!$E$6:$E$24,"Víctor")+SUMIFS('S3'!$I$6:$I$24,'S3'!$B$6:$B$24,$A17,'S3'!$E$6:$E$24,"Ambos")+SUMIFS('S4'!$I$6:$I$22,'S4'!$B$6:$B$22,$A17,'S4'!$E$6:$E$22,"Víctor")+SUMIFS('S4'!$I$6:$I$22,'S4'!$B$6:$B$22,$A17,'S4'!$E$6:$E$22,"Ambos")+SUMIFS('S5'!$I$6:$I$20,'S5'!$B$6:$B$20,$A17,'S5'!$E$6:$E$20,"Víctor")+SUMIFS('S5'!$I$6:$I$20,'S5'!$B$6:$B$20,$A17,'S5'!$E$6:$E$20,"Ambos")+SUMIFS('S6'!$I$6:$I$17,'S6'!$B$6:$B$17,$A17,'S6'!$E$6:$E$17,"Víctor")+SUMIFS('S6'!$I$6:$I$17,'S6'!$B$6:$B$17,$A17,'S6'!$E$6:$E$17,"Ambos")+SUMIFS('S7'!$I$6:$I$19,'S7'!$B$6:$B$19,$A17,'S7'!$E$6:$E$19,"Víctor")+SUMIFS('S7'!$I$6:$I$19,'S7'!$B$6:$B$19,$A17,'S7'!$E$6:$E$19,"Ambos")+SUMIFS('S8'!$I$6:$I$23,'S8'!$B$6:$B$23,$A17,'S8'!$E$6:$E$23,"Víctor")+SUMIFS('S8'!$I$6:$I$23,'S8'!$B$6:$B$23,$A17,'S8'!$E$6:$E$23,"Ambos")+SUMIFS('S9'!$I$6:$I$15,'S9'!$B$6:$B$15,$A17,'S9'!$E$6:$E$15,"Víctor")+SUMIFS('S9'!$I$6:$I$15,'S9'!$B$6:$B$15,$A17,'S9'!$E$6:$E$15,"Ambos")+SUMIFS('S10'!$I$6:$I$13,'S10'!$B$6:$B$13,$A17,'S10'!$E$6:$E$13,"Víctor")+SUMIFS('S10'!$I$6:$I$13,'S10'!$B$6:$B$13,$A17,'S10'!$E$6:$E$13,"Ambos")+SUMIFS('Holgura'!$I$6:$I$11,'Holgura'!$B$6:$B$11,$A17,'Holgura'!$E$6:$E$11,"Víctor")+SUMIFS('Holgura'!$I$6:$I$11,'Holgura'!$B$6:$B$11,$A17,'Holgura'!$E$6:$E$11,"Ambos")+SUMIFS('Entrega'!$I$6:$I$9,'Entrega'!$B$6:$B$9,$A17,'Entrega'!$E$6:$E$9,"Víctor")+SUMIFS('Entrega'!$I$6:$I$9,'Entrega'!$B$6:$B$9,$A17,'Entrega'!$E$6:$E$9,"Ambos")+SUMIFS('Defensa'!$I$6:$I$10,'Defensa'!$B$6:$B$10,$A17,'Defensa'!$E$6:$E$10,"Víctor")+SUMIFS('Defensa'!$I$6:$I$10,'Defensa'!$B$6:$B$10,$A17,'Defensa'!$E$6:$E$10,"Ambos")</f>
        <v/>
      </c>
      <c r="E17" s="21">
        <f>SUMIFS('S1'!$I$6:$I$32,'S1'!$B$6:$B$32,$A17,'S1'!$E$6:$E$32,"Diego")+SUMIFS('S1'!$I$6:$I$32,'S1'!$B$6:$B$32,$A17,'S1'!$E$6:$E$32,"Ambos")+SUMIFS('S2'!$I$6:$I$23,'S2'!$B$6:$B$23,$A17,'S2'!$E$6:$E$23,"Diego")+SUMIFS('S2'!$I$6:$I$23,'S2'!$B$6:$B$23,$A17,'S2'!$E$6:$E$23,"Ambos")+SUMIFS('S3'!$I$6:$I$24,'S3'!$B$6:$B$24,$A17,'S3'!$E$6:$E$24,"Diego")+SUMIFS('S3'!$I$6:$I$24,'S3'!$B$6:$B$24,$A17,'S3'!$E$6:$E$24,"Ambos")+SUMIFS('S4'!$I$6:$I$22,'S4'!$B$6:$B$22,$A17,'S4'!$E$6:$E$22,"Diego")+SUMIFS('S4'!$I$6:$I$22,'S4'!$B$6:$B$22,$A17,'S4'!$E$6:$E$22,"Ambos")+SUMIFS('S5'!$I$6:$I$20,'S5'!$B$6:$B$20,$A17,'S5'!$E$6:$E$20,"Diego")+SUMIFS('S5'!$I$6:$I$20,'S5'!$B$6:$B$20,$A17,'S5'!$E$6:$E$20,"Ambos")+SUMIFS('S6'!$I$6:$I$17,'S6'!$B$6:$B$17,$A17,'S6'!$E$6:$E$17,"Diego")+SUMIFS('S6'!$I$6:$I$17,'S6'!$B$6:$B$17,$A17,'S6'!$E$6:$E$17,"Ambos")+SUMIFS('S7'!$I$6:$I$19,'S7'!$B$6:$B$19,$A17,'S7'!$E$6:$E$19,"Diego")+SUMIFS('S7'!$I$6:$I$19,'S7'!$B$6:$B$19,$A17,'S7'!$E$6:$E$19,"Ambos")+SUMIFS('S8'!$I$6:$I$23,'S8'!$B$6:$B$23,$A17,'S8'!$E$6:$E$23,"Diego")+SUMIFS('S8'!$I$6:$I$23,'S8'!$B$6:$B$23,$A17,'S8'!$E$6:$E$23,"Ambos")+SUMIFS('S9'!$I$6:$I$15,'S9'!$B$6:$B$15,$A17,'S9'!$E$6:$E$15,"Diego")+SUMIFS('S9'!$I$6:$I$15,'S9'!$B$6:$B$15,$A17,'S9'!$E$6:$E$15,"Ambos")+SUMIFS('S10'!$I$6:$I$13,'S10'!$B$6:$B$13,$A17,'S10'!$E$6:$E$13,"Diego")+SUMIFS('S10'!$I$6:$I$13,'S10'!$B$6:$B$13,$A17,'S10'!$E$6:$E$13,"Ambos")+SUMIFS('Holgura'!$I$6:$I$11,'Holgura'!$B$6:$B$11,$A17,'Holgura'!$E$6:$E$11,"Diego")+SUMIFS('Holgura'!$I$6:$I$11,'Holgura'!$B$6:$B$11,$A17,'Holgura'!$E$6:$E$11,"Ambos")+SUMIFS('Entrega'!$I$6:$I$9,'Entrega'!$B$6:$B$9,$A17,'Entrega'!$E$6:$E$9,"Diego")+SUMIFS('Entrega'!$I$6:$I$9,'Entrega'!$B$6:$B$9,$A17,'Entrega'!$E$6:$E$9,"Ambos")+SUMIFS('Defensa'!$I$6:$I$10,'Defensa'!$B$6:$B$10,$A17,'Defensa'!$E$6:$E$10,"Diego")+SUMIFS('Defensa'!$I$6:$I$10,'Defensa'!$B$6:$B$10,$A17,'Defensa'!$E$6:$E$10,"Ambos")</f>
        <v/>
      </c>
      <c r="F17" s="21">
        <f>COUNTIFS('S1'!$B$6:$B$32,$A17,'S1'!$E$6:$E$32,"Víctor")+COUNTIFS('S1'!$B$6:$B$32,$A17,'S1'!$E$6:$E$32,"Ambos")+COUNTIFS('S2'!$B$6:$B$23,$A17,'S2'!$E$6:$E$23,"Víctor")+COUNTIFS('S2'!$B$6:$B$23,$A17,'S2'!$E$6:$E$23,"Ambos")+COUNTIFS('S3'!$B$6:$B$24,$A17,'S3'!$E$6:$E$24,"Víctor")+COUNTIFS('S3'!$B$6:$B$24,$A17,'S3'!$E$6:$E$24,"Ambos")+COUNTIFS('S4'!$B$6:$B$22,$A17,'S4'!$E$6:$E$22,"Víctor")+COUNTIFS('S4'!$B$6:$B$22,$A17,'S4'!$E$6:$E$22,"Ambos")+COUNTIFS('S5'!$B$6:$B$20,$A17,'S5'!$E$6:$E$20,"Víctor")+COUNTIFS('S5'!$B$6:$B$20,$A17,'S5'!$E$6:$E$20,"Ambos")+COUNTIFS('S6'!$B$6:$B$17,$A17,'S6'!$E$6:$E$17,"Víctor")+COUNTIFS('S6'!$B$6:$B$17,$A17,'S6'!$E$6:$E$17,"Ambos")+COUNTIFS('S7'!$B$6:$B$19,$A17,'S7'!$E$6:$E$19,"Víctor")+COUNTIFS('S7'!$B$6:$B$19,$A17,'S7'!$E$6:$E$19,"Ambos")+COUNTIFS('S8'!$B$6:$B$23,$A17,'S8'!$E$6:$E$23,"Víctor")+COUNTIFS('S8'!$B$6:$B$23,$A17,'S8'!$E$6:$E$23,"Ambos")+COUNTIFS('S9'!$B$6:$B$15,$A17,'S9'!$E$6:$E$15,"Víctor")+COUNTIFS('S9'!$B$6:$B$15,$A17,'S9'!$E$6:$E$15,"Ambos")+COUNTIFS('S10'!$B$6:$B$13,$A17,'S10'!$E$6:$E$13,"Víctor")+COUNTIFS('S10'!$B$6:$B$13,$A17,'S10'!$E$6:$E$13,"Ambos")+COUNTIFS('Holgura'!$B$6:$B$11,$A17,'Holgura'!$E$6:$E$11,"Víctor")+COUNTIFS('Holgura'!$B$6:$B$11,$A17,'Holgura'!$E$6:$E$11,"Ambos")+COUNTIFS('Entrega'!$B$6:$B$9,$A17,'Entrega'!$E$6:$E$9,"Víctor")+COUNTIFS('Entrega'!$B$6:$B$9,$A17,'Entrega'!$E$6:$E$9,"Ambos")+COUNTIFS('Defensa'!$B$6:$B$10,$A17,'Defensa'!$E$6:$E$10,"Víctor")+COUNTIFS('Defensa'!$B$6:$B$10,$A17,'Defensa'!$E$6:$E$10,"Ambos")</f>
        <v/>
      </c>
      <c r="G17" s="21">
        <f>COUNTIFS('S1'!$B$6:$B$32,$A17,'S1'!$E$6:$E$32,"Diego")+COUNTIFS('S1'!$B$6:$B$32,$A17,'S1'!$E$6:$E$32,"Ambos")+COUNTIFS('S2'!$B$6:$B$23,$A17,'S2'!$E$6:$E$23,"Diego")+COUNTIFS('S2'!$B$6:$B$23,$A17,'S2'!$E$6:$E$23,"Ambos")+COUNTIFS('S3'!$B$6:$B$24,$A17,'S3'!$E$6:$E$24,"Diego")+COUNTIFS('S3'!$B$6:$B$24,$A17,'S3'!$E$6:$E$24,"Ambos")+COUNTIFS('S4'!$B$6:$B$22,$A17,'S4'!$E$6:$E$22,"Diego")+COUNTIFS('S4'!$B$6:$B$22,$A17,'S4'!$E$6:$E$22,"Ambos")+COUNTIFS('S5'!$B$6:$B$20,$A17,'S5'!$E$6:$E$20,"Diego")+COUNTIFS('S5'!$B$6:$B$20,$A17,'S5'!$E$6:$E$20,"Ambos")+COUNTIFS('S6'!$B$6:$B$17,$A17,'S6'!$E$6:$E$17,"Diego")+COUNTIFS('S6'!$B$6:$B$17,$A17,'S6'!$E$6:$E$17,"Ambos")+COUNTIFS('S7'!$B$6:$B$19,$A17,'S7'!$E$6:$E$19,"Diego")+COUNTIFS('S7'!$B$6:$B$19,$A17,'S7'!$E$6:$E$19,"Ambos")+COUNTIFS('S8'!$B$6:$B$23,$A17,'S8'!$E$6:$E$23,"Diego")+COUNTIFS('S8'!$B$6:$B$23,$A17,'S8'!$E$6:$E$23,"Ambos")+COUNTIFS('S9'!$B$6:$B$15,$A17,'S9'!$E$6:$E$15,"Diego")+COUNTIFS('S9'!$B$6:$B$15,$A17,'S9'!$E$6:$E$15,"Ambos")+COUNTIFS('S10'!$B$6:$B$13,$A17,'S10'!$E$6:$E$13,"Diego")+COUNTIFS('S10'!$B$6:$B$13,$A17,'S10'!$E$6:$E$13,"Ambos")+COUNTIFS('Holgura'!$B$6:$B$11,$A17,'Holgura'!$E$6:$E$11,"Diego")+COUNTIFS('Holgura'!$B$6:$B$11,$A17,'Holgura'!$E$6:$E$11,"Ambos")+COUNTIFS('Entrega'!$B$6:$B$9,$A17,'Entrega'!$E$6:$E$9,"Diego")+COUNTIFS('Entrega'!$B$6:$B$9,$A17,'Entrega'!$E$6:$E$9,"Ambos")+COUNTIFS('Defensa'!$B$6:$B$10,$A17,'Defensa'!$E$6:$E$10,"Diego")+COUNTIFS('Defensa'!$B$6:$B$10,$A17,'Defensa'!$E$6:$E$10,"Ambos")</f>
        <v/>
      </c>
    </row>
    <row r="18">
      <c r="A18" s="25" t="n">
        <v>46320</v>
      </c>
      <c r="B18" s="26">
        <f>A18</f>
        <v/>
      </c>
      <c r="C18" s="21">
        <f>IF(WEEKDAY(A18,2)&gt;5,4,2)</f>
        <v/>
      </c>
      <c r="D18" s="21">
        <f>SUMIFS('S1'!$I$6:$I$32,'S1'!$B$6:$B$32,$A18,'S1'!$E$6:$E$32,"Víctor")+SUMIFS('S1'!$I$6:$I$32,'S1'!$B$6:$B$32,$A18,'S1'!$E$6:$E$32,"Ambos")+SUMIFS('S2'!$I$6:$I$23,'S2'!$B$6:$B$23,$A18,'S2'!$E$6:$E$23,"Víctor")+SUMIFS('S2'!$I$6:$I$23,'S2'!$B$6:$B$23,$A18,'S2'!$E$6:$E$23,"Ambos")+SUMIFS('S3'!$I$6:$I$24,'S3'!$B$6:$B$24,$A18,'S3'!$E$6:$E$24,"Víctor")+SUMIFS('S3'!$I$6:$I$24,'S3'!$B$6:$B$24,$A18,'S3'!$E$6:$E$24,"Ambos")+SUMIFS('S4'!$I$6:$I$22,'S4'!$B$6:$B$22,$A18,'S4'!$E$6:$E$22,"Víctor")+SUMIFS('S4'!$I$6:$I$22,'S4'!$B$6:$B$22,$A18,'S4'!$E$6:$E$22,"Ambos")+SUMIFS('S5'!$I$6:$I$20,'S5'!$B$6:$B$20,$A18,'S5'!$E$6:$E$20,"Víctor")+SUMIFS('S5'!$I$6:$I$20,'S5'!$B$6:$B$20,$A18,'S5'!$E$6:$E$20,"Ambos")+SUMIFS('S6'!$I$6:$I$17,'S6'!$B$6:$B$17,$A18,'S6'!$E$6:$E$17,"Víctor")+SUMIFS('S6'!$I$6:$I$17,'S6'!$B$6:$B$17,$A18,'S6'!$E$6:$E$17,"Ambos")+SUMIFS('S7'!$I$6:$I$19,'S7'!$B$6:$B$19,$A18,'S7'!$E$6:$E$19,"Víctor")+SUMIFS('S7'!$I$6:$I$19,'S7'!$B$6:$B$19,$A18,'S7'!$E$6:$E$19,"Ambos")+SUMIFS('S8'!$I$6:$I$23,'S8'!$B$6:$B$23,$A18,'S8'!$E$6:$E$23,"Víctor")+SUMIFS('S8'!$I$6:$I$23,'S8'!$B$6:$B$23,$A18,'S8'!$E$6:$E$23,"Ambos")+SUMIFS('S9'!$I$6:$I$15,'S9'!$B$6:$B$15,$A18,'S9'!$E$6:$E$15,"Víctor")+SUMIFS('S9'!$I$6:$I$15,'S9'!$B$6:$B$15,$A18,'S9'!$E$6:$E$15,"Ambos")+SUMIFS('S10'!$I$6:$I$13,'S10'!$B$6:$B$13,$A18,'S10'!$E$6:$E$13,"Víctor")+SUMIFS('S10'!$I$6:$I$13,'S10'!$B$6:$B$13,$A18,'S10'!$E$6:$E$13,"Ambos")+SUMIFS('Holgura'!$I$6:$I$11,'Holgura'!$B$6:$B$11,$A18,'Holgura'!$E$6:$E$11,"Víctor")+SUMIFS('Holgura'!$I$6:$I$11,'Holgura'!$B$6:$B$11,$A18,'Holgura'!$E$6:$E$11,"Ambos")+SUMIFS('Entrega'!$I$6:$I$9,'Entrega'!$B$6:$B$9,$A18,'Entrega'!$E$6:$E$9,"Víctor")+SUMIFS('Entrega'!$I$6:$I$9,'Entrega'!$B$6:$B$9,$A18,'Entrega'!$E$6:$E$9,"Ambos")+SUMIFS('Defensa'!$I$6:$I$10,'Defensa'!$B$6:$B$10,$A18,'Defensa'!$E$6:$E$10,"Víctor")+SUMIFS('Defensa'!$I$6:$I$10,'Defensa'!$B$6:$B$10,$A18,'Defensa'!$E$6:$E$10,"Ambos")</f>
        <v/>
      </c>
      <c r="E18" s="21">
        <f>SUMIFS('S1'!$I$6:$I$32,'S1'!$B$6:$B$32,$A18,'S1'!$E$6:$E$32,"Diego")+SUMIFS('S1'!$I$6:$I$32,'S1'!$B$6:$B$32,$A18,'S1'!$E$6:$E$32,"Ambos")+SUMIFS('S2'!$I$6:$I$23,'S2'!$B$6:$B$23,$A18,'S2'!$E$6:$E$23,"Diego")+SUMIFS('S2'!$I$6:$I$23,'S2'!$B$6:$B$23,$A18,'S2'!$E$6:$E$23,"Ambos")+SUMIFS('S3'!$I$6:$I$24,'S3'!$B$6:$B$24,$A18,'S3'!$E$6:$E$24,"Diego")+SUMIFS('S3'!$I$6:$I$24,'S3'!$B$6:$B$24,$A18,'S3'!$E$6:$E$24,"Ambos")+SUMIFS('S4'!$I$6:$I$22,'S4'!$B$6:$B$22,$A18,'S4'!$E$6:$E$22,"Diego")+SUMIFS('S4'!$I$6:$I$22,'S4'!$B$6:$B$22,$A18,'S4'!$E$6:$E$22,"Ambos")+SUMIFS('S5'!$I$6:$I$20,'S5'!$B$6:$B$20,$A18,'S5'!$E$6:$E$20,"Diego")+SUMIFS('S5'!$I$6:$I$20,'S5'!$B$6:$B$20,$A18,'S5'!$E$6:$E$20,"Ambos")+SUMIFS('S6'!$I$6:$I$17,'S6'!$B$6:$B$17,$A18,'S6'!$E$6:$E$17,"Diego")+SUMIFS('S6'!$I$6:$I$17,'S6'!$B$6:$B$17,$A18,'S6'!$E$6:$E$17,"Ambos")+SUMIFS('S7'!$I$6:$I$19,'S7'!$B$6:$B$19,$A18,'S7'!$E$6:$E$19,"Diego")+SUMIFS('S7'!$I$6:$I$19,'S7'!$B$6:$B$19,$A18,'S7'!$E$6:$E$19,"Ambos")+SUMIFS('S8'!$I$6:$I$23,'S8'!$B$6:$B$23,$A18,'S8'!$E$6:$E$23,"Diego")+SUMIFS('S8'!$I$6:$I$23,'S8'!$B$6:$B$23,$A18,'S8'!$E$6:$E$23,"Ambos")+SUMIFS('S9'!$I$6:$I$15,'S9'!$B$6:$B$15,$A18,'S9'!$E$6:$E$15,"Diego")+SUMIFS('S9'!$I$6:$I$15,'S9'!$B$6:$B$15,$A18,'S9'!$E$6:$E$15,"Ambos")+SUMIFS('S10'!$I$6:$I$13,'S10'!$B$6:$B$13,$A18,'S10'!$E$6:$E$13,"Diego")+SUMIFS('S10'!$I$6:$I$13,'S10'!$B$6:$B$13,$A18,'S10'!$E$6:$E$13,"Ambos")+SUMIFS('Holgura'!$I$6:$I$11,'Holgura'!$B$6:$B$11,$A18,'Holgura'!$E$6:$E$11,"Diego")+SUMIFS('Holgura'!$I$6:$I$11,'Holgura'!$B$6:$B$11,$A18,'Holgura'!$E$6:$E$11,"Ambos")+SUMIFS('Entrega'!$I$6:$I$9,'Entrega'!$B$6:$B$9,$A18,'Entrega'!$E$6:$E$9,"Diego")+SUMIFS('Entrega'!$I$6:$I$9,'Entrega'!$B$6:$B$9,$A18,'Entrega'!$E$6:$E$9,"Ambos")+SUMIFS('Defensa'!$I$6:$I$10,'Defensa'!$B$6:$B$10,$A18,'Defensa'!$E$6:$E$10,"Diego")+SUMIFS('Defensa'!$I$6:$I$10,'Defensa'!$B$6:$B$10,$A18,'Defensa'!$E$6:$E$10,"Ambos")</f>
        <v/>
      </c>
      <c r="F18" s="21">
        <f>COUNTIFS('S1'!$B$6:$B$32,$A18,'S1'!$E$6:$E$32,"Víctor")+COUNTIFS('S1'!$B$6:$B$32,$A18,'S1'!$E$6:$E$32,"Ambos")+COUNTIFS('S2'!$B$6:$B$23,$A18,'S2'!$E$6:$E$23,"Víctor")+COUNTIFS('S2'!$B$6:$B$23,$A18,'S2'!$E$6:$E$23,"Ambos")+COUNTIFS('S3'!$B$6:$B$24,$A18,'S3'!$E$6:$E$24,"Víctor")+COUNTIFS('S3'!$B$6:$B$24,$A18,'S3'!$E$6:$E$24,"Ambos")+COUNTIFS('S4'!$B$6:$B$22,$A18,'S4'!$E$6:$E$22,"Víctor")+COUNTIFS('S4'!$B$6:$B$22,$A18,'S4'!$E$6:$E$22,"Ambos")+COUNTIFS('S5'!$B$6:$B$20,$A18,'S5'!$E$6:$E$20,"Víctor")+COUNTIFS('S5'!$B$6:$B$20,$A18,'S5'!$E$6:$E$20,"Ambos")+COUNTIFS('S6'!$B$6:$B$17,$A18,'S6'!$E$6:$E$17,"Víctor")+COUNTIFS('S6'!$B$6:$B$17,$A18,'S6'!$E$6:$E$17,"Ambos")+COUNTIFS('S7'!$B$6:$B$19,$A18,'S7'!$E$6:$E$19,"Víctor")+COUNTIFS('S7'!$B$6:$B$19,$A18,'S7'!$E$6:$E$19,"Ambos")+COUNTIFS('S8'!$B$6:$B$23,$A18,'S8'!$E$6:$E$23,"Víctor")+COUNTIFS('S8'!$B$6:$B$23,$A18,'S8'!$E$6:$E$23,"Ambos")+COUNTIFS('S9'!$B$6:$B$15,$A18,'S9'!$E$6:$E$15,"Víctor")+COUNTIFS('S9'!$B$6:$B$15,$A18,'S9'!$E$6:$E$15,"Ambos")+COUNTIFS('S10'!$B$6:$B$13,$A18,'S10'!$E$6:$E$13,"Víctor")+COUNTIFS('S10'!$B$6:$B$13,$A18,'S10'!$E$6:$E$13,"Ambos")+COUNTIFS('Holgura'!$B$6:$B$11,$A18,'Holgura'!$E$6:$E$11,"Víctor")+COUNTIFS('Holgura'!$B$6:$B$11,$A18,'Holgura'!$E$6:$E$11,"Ambos")+COUNTIFS('Entrega'!$B$6:$B$9,$A18,'Entrega'!$E$6:$E$9,"Víctor")+COUNTIFS('Entrega'!$B$6:$B$9,$A18,'Entrega'!$E$6:$E$9,"Ambos")+COUNTIFS('Defensa'!$B$6:$B$10,$A18,'Defensa'!$E$6:$E$10,"Víctor")+COUNTIFS('Defensa'!$B$6:$B$10,$A18,'Defensa'!$E$6:$E$10,"Ambos")</f>
        <v/>
      </c>
      <c r="G18" s="21">
        <f>COUNTIFS('S1'!$B$6:$B$32,$A18,'S1'!$E$6:$E$32,"Diego")+COUNTIFS('S1'!$B$6:$B$32,$A18,'S1'!$E$6:$E$32,"Ambos")+COUNTIFS('S2'!$B$6:$B$23,$A18,'S2'!$E$6:$E$23,"Diego")+COUNTIFS('S2'!$B$6:$B$23,$A18,'S2'!$E$6:$E$23,"Ambos")+COUNTIFS('S3'!$B$6:$B$24,$A18,'S3'!$E$6:$E$24,"Diego")+COUNTIFS('S3'!$B$6:$B$24,$A18,'S3'!$E$6:$E$24,"Ambos")+COUNTIFS('S4'!$B$6:$B$22,$A18,'S4'!$E$6:$E$22,"Diego")+COUNTIFS('S4'!$B$6:$B$22,$A18,'S4'!$E$6:$E$22,"Ambos")+COUNTIFS('S5'!$B$6:$B$20,$A18,'S5'!$E$6:$E$20,"Diego")+COUNTIFS('S5'!$B$6:$B$20,$A18,'S5'!$E$6:$E$20,"Ambos")+COUNTIFS('S6'!$B$6:$B$17,$A18,'S6'!$E$6:$E$17,"Diego")+COUNTIFS('S6'!$B$6:$B$17,$A18,'S6'!$E$6:$E$17,"Ambos")+COUNTIFS('S7'!$B$6:$B$19,$A18,'S7'!$E$6:$E$19,"Diego")+COUNTIFS('S7'!$B$6:$B$19,$A18,'S7'!$E$6:$E$19,"Ambos")+COUNTIFS('S8'!$B$6:$B$23,$A18,'S8'!$E$6:$E$23,"Diego")+COUNTIFS('S8'!$B$6:$B$23,$A18,'S8'!$E$6:$E$23,"Ambos")+COUNTIFS('S9'!$B$6:$B$15,$A18,'S9'!$E$6:$E$15,"Diego")+COUNTIFS('S9'!$B$6:$B$15,$A18,'S9'!$E$6:$E$15,"Ambos")+COUNTIFS('S10'!$B$6:$B$13,$A18,'S10'!$E$6:$E$13,"Diego")+COUNTIFS('S10'!$B$6:$B$13,$A18,'S10'!$E$6:$E$13,"Ambos")+COUNTIFS('Holgura'!$B$6:$B$11,$A18,'Holgura'!$E$6:$E$11,"Diego")+COUNTIFS('Holgura'!$B$6:$B$11,$A18,'Holgura'!$E$6:$E$11,"Ambos")+COUNTIFS('Entrega'!$B$6:$B$9,$A18,'Entrega'!$E$6:$E$9,"Diego")+COUNTIFS('Entrega'!$B$6:$B$9,$A18,'Entrega'!$E$6:$E$9,"Ambos")+COUNTIFS('Defensa'!$B$6:$B$10,$A18,'Defensa'!$E$6:$E$10,"Diego")+COUNTIFS('Defensa'!$B$6:$B$10,$A18,'Defensa'!$E$6:$E$10,"Ambos")</f>
        <v/>
      </c>
    </row>
    <row r="19">
      <c r="A19" s="25" t="n">
        <v>46321</v>
      </c>
      <c r="B19" s="26">
        <f>A19</f>
        <v/>
      </c>
      <c r="C19" s="21">
        <f>IF(WEEKDAY(A19,2)&gt;5,4,2)</f>
        <v/>
      </c>
      <c r="D19" s="21">
        <f>SUMIFS('S1'!$I$6:$I$32,'S1'!$B$6:$B$32,$A19,'S1'!$E$6:$E$32,"Víctor")+SUMIFS('S1'!$I$6:$I$32,'S1'!$B$6:$B$32,$A19,'S1'!$E$6:$E$32,"Ambos")+SUMIFS('S2'!$I$6:$I$23,'S2'!$B$6:$B$23,$A19,'S2'!$E$6:$E$23,"Víctor")+SUMIFS('S2'!$I$6:$I$23,'S2'!$B$6:$B$23,$A19,'S2'!$E$6:$E$23,"Ambos")+SUMIFS('S3'!$I$6:$I$24,'S3'!$B$6:$B$24,$A19,'S3'!$E$6:$E$24,"Víctor")+SUMIFS('S3'!$I$6:$I$24,'S3'!$B$6:$B$24,$A19,'S3'!$E$6:$E$24,"Ambos")+SUMIFS('S4'!$I$6:$I$22,'S4'!$B$6:$B$22,$A19,'S4'!$E$6:$E$22,"Víctor")+SUMIFS('S4'!$I$6:$I$22,'S4'!$B$6:$B$22,$A19,'S4'!$E$6:$E$22,"Ambos")+SUMIFS('S5'!$I$6:$I$20,'S5'!$B$6:$B$20,$A19,'S5'!$E$6:$E$20,"Víctor")+SUMIFS('S5'!$I$6:$I$20,'S5'!$B$6:$B$20,$A19,'S5'!$E$6:$E$20,"Ambos")+SUMIFS('S6'!$I$6:$I$17,'S6'!$B$6:$B$17,$A19,'S6'!$E$6:$E$17,"Víctor")+SUMIFS('S6'!$I$6:$I$17,'S6'!$B$6:$B$17,$A19,'S6'!$E$6:$E$17,"Ambos")+SUMIFS('S7'!$I$6:$I$19,'S7'!$B$6:$B$19,$A19,'S7'!$E$6:$E$19,"Víctor")+SUMIFS('S7'!$I$6:$I$19,'S7'!$B$6:$B$19,$A19,'S7'!$E$6:$E$19,"Ambos")+SUMIFS('S8'!$I$6:$I$23,'S8'!$B$6:$B$23,$A19,'S8'!$E$6:$E$23,"Víctor")+SUMIFS('S8'!$I$6:$I$23,'S8'!$B$6:$B$23,$A19,'S8'!$E$6:$E$23,"Ambos")+SUMIFS('S9'!$I$6:$I$15,'S9'!$B$6:$B$15,$A19,'S9'!$E$6:$E$15,"Víctor")+SUMIFS('S9'!$I$6:$I$15,'S9'!$B$6:$B$15,$A19,'S9'!$E$6:$E$15,"Ambos")+SUMIFS('S10'!$I$6:$I$13,'S10'!$B$6:$B$13,$A19,'S10'!$E$6:$E$13,"Víctor")+SUMIFS('S10'!$I$6:$I$13,'S10'!$B$6:$B$13,$A19,'S10'!$E$6:$E$13,"Ambos")+SUMIFS('Holgura'!$I$6:$I$11,'Holgura'!$B$6:$B$11,$A19,'Holgura'!$E$6:$E$11,"Víctor")+SUMIFS('Holgura'!$I$6:$I$11,'Holgura'!$B$6:$B$11,$A19,'Holgura'!$E$6:$E$11,"Ambos")+SUMIFS('Entrega'!$I$6:$I$9,'Entrega'!$B$6:$B$9,$A19,'Entrega'!$E$6:$E$9,"Víctor")+SUMIFS('Entrega'!$I$6:$I$9,'Entrega'!$B$6:$B$9,$A19,'Entrega'!$E$6:$E$9,"Ambos")+SUMIFS('Defensa'!$I$6:$I$10,'Defensa'!$B$6:$B$10,$A19,'Defensa'!$E$6:$E$10,"Víctor")+SUMIFS('Defensa'!$I$6:$I$10,'Defensa'!$B$6:$B$10,$A19,'Defensa'!$E$6:$E$10,"Ambos")</f>
        <v/>
      </c>
      <c r="E19" s="21">
        <f>SUMIFS('S1'!$I$6:$I$32,'S1'!$B$6:$B$32,$A19,'S1'!$E$6:$E$32,"Diego")+SUMIFS('S1'!$I$6:$I$32,'S1'!$B$6:$B$32,$A19,'S1'!$E$6:$E$32,"Ambos")+SUMIFS('S2'!$I$6:$I$23,'S2'!$B$6:$B$23,$A19,'S2'!$E$6:$E$23,"Diego")+SUMIFS('S2'!$I$6:$I$23,'S2'!$B$6:$B$23,$A19,'S2'!$E$6:$E$23,"Ambos")+SUMIFS('S3'!$I$6:$I$24,'S3'!$B$6:$B$24,$A19,'S3'!$E$6:$E$24,"Diego")+SUMIFS('S3'!$I$6:$I$24,'S3'!$B$6:$B$24,$A19,'S3'!$E$6:$E$24,"Ambos")+SUMIFS('S4'!$I$6:$I$22,'S4'!$B$6:$B$22,$A19,'S4'!$E$6:$E$22,"Diego")+SUMIFS('S4'!$I$6:$I$22,'S4'!$B$6:$B$22,$A19,'S4'!$E$6:$E$22,"Ambos")+SUMIFS('S5'!$I$6:$I$20,'S5'!$B$6:$B$20,$A19,'S5'!$E$6:$E$20,"Diego")+SUMIFS('S5'!$I$6:$I$20,'S5'!$B$6:$B$20,$A19,'S5'!$E$6:$E$20,"Ambos")+SUMIFS('S6'!$I$6:$I$17,'S6'!$B$6:$B$17,$A19,'S6'!$E$6:$E$17,"Diego")+SUMIFS('S6'!$I$6:$I$17,'S6'!$B$6:$B$17,$A19,'S6'!$E$6:$E$17,"Ambos")+SUMIFS('S7'!$I$6:$I$19,'S7'!$B$6:$B$19,$A19,'S7'!$E$6:$E$19,"Diego")+SUMIFS('S7'!$I$6:$I$19,'S7'!$B$6:$B$19,$A19,'S7'!$E$6:$E$19,"Ambos")+SUMIFS('S8'!$I$6:$I$23,'S8'!$B$6:$B$23,$A19,'S8'!$E$6:$E$23,"Diego")+SUMIFS('S8'!$I$6:$I$23,'S8'!$B$6:$B$23,$A19,'S8'!$E$6:$E$23,"Ambos")+SUMIFS('S9'!$I$6:$I$15,'S9'!$B$6:$B$15,$A19,'S9'!$E$6:$E$15,"Diego")+SUMIFS('S9'!$I$6:$I$15,'S9'!$B$6:$B$15,$A19,'S9'!$E$6:$E$15,"Ambos")+SUMIFS('S10'!$I$6:$I$13,'S10'!$B$6:$B$13,$A19,'S10'!$E$6:$E$13,"Diego")+SUMIFS('S10'!$I$6:$I$13,'S10'!$B$6:$B$13,$A19,'S10'!$E$6:$E$13,"Ambos")+SUMIFS('Holgura'!$I$6:$I$11,'Holgura'!$B$6:$B$11,$A19,'Holgura'!$E$6:$E$11,"Diego")+SUMIFS('Holgura'!$I$6:$I$11,'Holgura'!$B$6:$B$11,$A19,'Holgura'!$E$6:$E$11,"Ambos")+SUMIFS('Entrega'!$I$6:$I$9,'Entrega'!$B$6:$B$9,$A19,'Entrega'!$E$6:$E$9,"Diego")+SUMIFS('Entrega'!$I$6:$I$9,'Entrega'!$B$6:$B$9,$A19,'Entrega'!$E$6:$E$9,"Ambos")+SUMIFS('Defensa'!$I$6:$I$10,'Defensa'!$B$6:$B$10,$A19,'Defensa'!$E$6:$E$10,"Diego")+SUMIFS('Defensa'!$I$6:$I$10,'Defensa'!$B$6:$B$10,$A19,'Defensa'!$E$6:$E$10,"Ambos")</f>
        <v/>
      </c>
      <c r="F19" s="21">
        <f>COUNTIFS('S1'!$B$6:$B$32,$A19,'S1'!$E$6:$E$32,"Víctor")+COUNTIFS('S1'!$B$6:$B$32,$A19,'S1'!$E$6:$E$32,"Ambos")+COUNTIFS('S2'!$B$6:$B$23,$A19,'S2'!$E$6:$E$23,"Víctor")+COUNTIFS('S2'!$B$6:$B$23,$A19,'S2'!$E$6:$E$23,"Ambos")+COUNTIFS('S3'!$B$6:$B$24,$A19,'S3'!$E$6:$E$24,"Víctor")+COUNTIFS('S3'!$B$6:$B$24,$A19,'S3'!$E$6:$E$24,"Ambos")+COUNTIFS('S4'!$B$6:$B$22,$A19,'S4'!$E$6:$E$22,"Víctor")+COUNTIFS('S4'!$B$6:$B$22,$A19,'S4'!$E$6:$E$22,"Ambos")+COUNTIFS('S5'!$B$6:$B$20,$A19,'S5'!$E$6:$E$20,"Víctor")+COUNTIFS('S5'!$B$6:$B$20,$A19,'S5'!$E$6:$E$20,"Ambos")+COUNTIFS('S6'!$B$6:$B$17,$A19,'S6'!$E$6:$E$17,"Víctor")+COUNTIFS('S6'!$B$6:$B$17,$A19,'S6'!$E$6:$E$17,"Ambos")+COUNTIFS('S7'!$B$6:$B$19,$A19,'S7'!$E$6:$E$19,"Víctor")+COUNTIFS('S7'!$B$6:$B$19,$A19,'S7'!$E$6:$E$19,"Ambos")+COUNTIFS('S8'!$B$6:$B$23,$A19,'S8'!$E$6:$E$23,"Víctor")+COUNTIFS('S8'!$B$6:$B$23,$A19,'S8'!$E$6:$E$23,"Ambos")+COUNTIFS('S9'!$B$6:$B$15,$A19,'S9'!$E$6:$E$15,"Víctor")+COUNTIFS('S9'!$B$6:$B$15,$A19,'S9'!$E$6:$E$15,"Ambos")+COUNTIFS('S10'!$B$6:$B$13,$A19,'S10'!$E$6:$E$13,"Víctor")+COUNTIFS('S10'!$B$6:$B$13,$A19,'S10'!$E$6:$E$13,"Ambos")+COUNTIFS('Holgura'!$B$6:$B$11,$A19,'Holgura'!$E$6:$E$11,"Víctor")+COUNTIFS('Holgura'!$B$6:$B$11,$A19,'Holgura'!$E$6:$E$11,"Ambos")+COUNTIFS('Entrega'!$B$6:$B$9,$A19,'Entrega'!$E$6:$E$9,"Víctor")+COUNTIFS('Entrega'!$B$6:$B$9,$A19,'Entrega'!$E$6:$E$9,"Ambos")+COUNTIFS('Defensa'!$B$6:$B$10,$A19,'Defensa'!$E$6:$E$10,"Víctor")+COUNTIFS('Defensa'!$B$6:$B$10,$A19,'Defensa'!$E$6:$E$10,"Ambos")</f>
        <v/>
      </c>
      <c r="G19" s="21">
        <f>COUNTIFS('S1'!$B$6:$B$32,$A19,'S1'!$E$6:$E$32,"Diego")+COUNTIFS('S1'!$B$6:$B$32,$A19,'S1'!$E$6:$E$32,"Ambos")+COUNTIFS('S2'!$B$6:$B$23,$A19,'S2'!$E$6:$E$23,"Diego")+COUNTIFS('S2'!$B$6:$B$23,$A19,'S2'!$E$6:$E$23,"Ambos")+COUNTIFS('S3'!$B$6:$B$24,$A19,'S3'!$E$6:$E$24,"Diego")+COUNTIFS('S3'!$B$6:$B$24,$A19,'S3'!$E$6:$E$24,"Ambos")+COUNTIFS('S4'!$B$6:$B$22,$A19,'S4'!$E$6:$E$22,"Diego")+COUNTIFS('S4'!$B$6:$B$22,$A19,'S4'!$E$6:$E$22,"Ambos")+COUNTIFS('S5'!$B$6:$B$20,$A19,'S5'!$E$6:$E$20,"Diego")+COUNTIFS('S5'!$B$6:$B$20,$A19,'S5'!$E$6:$E$20,"Ambos")+COUNTIFS('S6'!$B$6:$B$17,$A19,'S6'!$E$6:$E$17,"Diego")+COUNTIFS('S6'!$B$6:$B$17,$A19,'S6'!$E$6:$E$17,"Ambos")+COUNTIFS('S7'!$B$6:$B$19,$A19,'S7'!$E$6:$E$19,"Diego")+COUNTIFS('S7'!$B$6:$B$19,$A19,'S7'!$E$6:$E$19,"Ambos")+COUNTIFS('S8'!$B$6:$B$23,$A19,'S8'!$E$6:$E$23,"Diego")+COUNTIFS('S8'!$B$6:$B$23,$A19,'S8'!$E$6:$E$23,"Ambos")+COUNTIFS('S9'!$B$6:$B$15,$A19,'S9'!$E$6:$E$15,"Diego")+COUNTIFS('S9'!$B$6:$B$15,$A19,'S9'!$E$6:$E$15,"Ambos")+COUNTIFS('S10'!$B$6:$B$13,$A19,'S10'!$E$6:$E$13,"Diego")+COUNTIFS('S10'!$B$6:$B$13,$A19,'S10'!$E$6:$E$13,"Ambos")+COUNTIFS('Holgura'!$B$6:$B$11,$A19,'Holgura'!$E$6:$E$11,"Diego")+COUNTIFS('Holgura'!$B$6:$B$11,$A19,'Holgura'!$E$6:$E$11,"Ambos")+COUNTIFS('Entrega'!$B$6:$B$9,$A19,'Entrega'!$E$6:$E$9,"Diego")+COUNTIFS('Entrega'!$B$6:$B$9,$A19,'Entrega'!$E$6:$E$9,"Ambos")+COUNTIFS('Defensa'!$B$6:$B$10,$A19,'Defensa'!$E$6:$E$10,"Diego")+COUNTIFS('Defensa'!$B$6:$B$10,$A19,'Defensa'!$E$6:$E$10,"Ambos")</f>
        <v/>
      </c>
    </row>
    <row r="20">
      <c r="A20" s="25" t="n">
        <v>46322</v>
      </c>
      <c r="B20" s="26">
        <f>A20</f>
        <v/>
      </c>
      <c r="C20" s="21">
        <f>IF(WEEKDAY(A20,2)&gt;5,4,2)</f>
        <v/>
      </c>
      <c r="D20" s="21">
        <f>SUMIFS('S1'!$I$6:$I$32,'S1'!$B$6:$B$32,$A20,'S1'!$E$6:$E$32,"Víctor")+SUMIFS('S1'!$I$6:$I$32,'S1'!$B$6:$B$32,$A20,'S1'!$E$6:$E$32,"Ambos")+SUMIFS('S2'!$I$6:$I$23,'S2'!$B$6:$B$23,$A20,'S2'!$E$6:$E$23,"Víctor")+SUMIFS('S2'!$I$6:$I$23,'S2'!$B$6:$B$23,$A20,'S2'!$E$6:$E$23,"Ambos")+SUMIFS('S3'!$I$6:$I$24,'S3'!$B$6:$B$24,$A20,'S3'!$E$6:$E$24,"Víctor")+SUMIFS('S3'!$I$6:$I$24,'S3'!$B$6:$B$24,$A20,'S3'!$E$6:$E$24,"Ambos")+SUMIFS('S4'!$I$6:$I$22,'S4'!$B$6:$B$22,$A20,'S4'!$E$6:$E$22,"Víctor")+SUMIFS('S4'!$I$6:$I$22,'S4'!$B$6:$B$22,$A20,'S4'!$E$6:$E$22,"Ambos")+SUMIFS('S5'!$I$6:$I$20,'S5'!$B$6:$B$20,$A20,'S5'!$E$6:$E$20,"Víctor")+SUMIFS('S5'!$I$6:$I$20,'S5'!$B$6:$B$20,$A20,'S5'!$E$6:$E$20,"Ambos")+SUMIFS('S6'!$I$6:$I$17,'S6'!$B$6:$B$17,$A20,'S6'!$E$6:$E$17,"Víctor")+SUMIFS('S6'!$I$6:$I$17,'S6'!$B$6:$B$17,$A20,'S6'!$E$6:$E$17,"Ambos")+SUMIFS('S7'!$I$6:$I$19,'S7'!$B$6:$B$19,$A20,'S7'!$E$6:$E$19,"Víctor")+SUMIFS('S7'!$I$6:$I$19,'S7'!$B$6:$B$19,$A20,'S7'!$E$6:$E$19,"Ambos")+SUMIFS('S8'!$I$6:$I$23,'S8'!$B$6:$B$23,$A20,'S8'!$E$6:$E$23,"Víctor")+SUMIFS('S8'!$I$6:$I$23,'S8'!$B$6:$B$23,$A20,'S8'!$E$6:$E$23,"Ambos")+SUMIFS('S9'!$I$6:$I$15,'S9'!$B$6:$B$15,$A20,'S9'!$E$6:$E$15,"Víctor")+SUMIFS('S9'!$I$6:$I$15,'S9'!$B$6:$B$15,$A20,'S9'!$E$6:$E$15,"Ambos")+SUMIFS('S10'!$I$6:$I$13,'S10'!$B$6:$B$13,$A20,'S10'!$E$6:$E$13,"Víctor")+SUMIFS('S10'!$I$6:$I$13,'S10'!$B$6:$B$13,$A20,'S10'!$E$6:$E$13,"Ambos")+SUMIFS('Holgura'!$I$6:$I$11,'Holgura'!$B$6:$B$11,$A20,'Holgura'!$E$6:$E$11,"Víctor")+SUMIFS('Holgura'!$I$6:$I$11,'Holgura'!$B$6:$B$11,$A20,'Holgura'!$E$6:$E$11,"Ambos")+SUMIFS('Entrega'!$I$6:$I$9,'Entrega'!$B$6:$B$9,$A20,'Entrega'!$E$6:$E$9,"Víctor")+SUMIFS('Entrega'!$I$6:$I$9,'Entrega'!$B$6:$B$9,$A20,'Entrega'!$E$6:$E$9,"Ambos")+SUMIFS('Defensa'!$I$6:$I$10,'Defensa'!$B$6:$B$10,$A20,'Defensa'!$E$6:$E$10,"Víctor")+SUMIFS('Defensa'!$I$6:$I$10,'Defensa'!$B$6:$B$10,$A20,'Defensa'!$E$6:$E$10,"Ambos")</f>
        <v/>
      </c>
      <c r="E20" s="21">
        <f>SUMIFS('S1'!$I$6:$I$32,'S1'!$B$6:$B$32,$A20,'S1'!$E$6:$E$32,"Diego")+SUMIFS('S1'!$I$6:$I$32,'S1'!$B$6:$B$32,$A20,'S1'!$E$6:$E$32,"Ambos")+SUMIFS('S2'!$I$6:$I$23,'S2'!$B$6:$B$23,$A20,'S2'!$E$6:$E$23,"Diego")+SUMIFS('S2'!$I$6:$I$23,'S2'!$B$6:$B$23,$A20,'S2'!$E$6:$E$23,"Ambos")+SUMIFS('S3'!$I$6:$I$24,'S3'!$B$6:$B$24,$A20,'S3'!$E$6:$E$24,"Diego")+SUMIFS('S3'!$I$6:$I$24,'S3'!$B$6:$B$24,$A20,'S3'!$E$6:$E$24,"Ambos")+SUMIFS('S4'!$I$6:$I$22,'S4'!$B$6:$B$22,$A20,'S4'!$E$6:$E$22,"Diego")+SUMIFS('S4'!$I$6:$I$22,'S4'!$B$6:$B$22,$A20,'S4'!$E$6:$E$22,"Ambos")+SUMIFS('S5'!$I$6:$I$20,'S5'!$B$6:$B$20,$A20,'S5'!$E$6:$E$20,"Diego")+SUMIFS('S5'!$I$6:$I$20,'S5'!$B$6:$B$20,$A20,'S5'!$E$6:$E$20,"Ambos")+SUMIFS('S6'!$I$6:$I$17,'S6'!$B$6:$B$17,$A20,'S6'!$E$6:$E$17,"Diego")+SUMIFS('S6'!$I$6:$I$17,'S6'!$B$6:$B$17,$A20,'S6'!$E$6:$E$17,"Ambos")+SUMIFS('S7'!$I$6:$I$19,'S7'!$B$6:$B$19,$A20,'S7'!$E$6:$E$19,"Diego")+SUMIFS('S7'!$I$6:$I$19,'S7'!$B$6:$B$19,$A20,'S7'!$E$6:$E$19,"Ambos")+SUMIFS('S8'!$I$6:$I$23,'S8'!$B$6:$B$23,$A20,'S8'!$E$6:$E$23,"Diego")+SUMIFS('S8'!$I$6:$I$23,'S8'!$B$6:$B$23,$A20,'S8'!$E$6:$E$23,"Ambos")+SUMIFS('S9'!$I$6:$I$15,'S9'!$B$6:$B$15,$A20,'S9'!$E$6:$E$15,"Diego")+SUMIFS('S9'!$I$6:$I$15,'S9'!$B$6:$B$15,$A20,'S9'!$E$6:$E$15,"Ambos")+SUMIFS('S10'!$I$6:$I$13,'S10'!$B$6:$B$13,$A20,'S10'!$E$6:$E$13,"Diego")+SUMIFS('S10'!$I$6:$I$13,'S10'!$B$6:$B$13,$A20,'S10'!$E$6:$E$13,"Ambos")+SUMIFS('Holgura'!$I$6:$I$11,'Holgura'!$B$6:$B$11,$A20,'Holgura'!$E$6:$E$11,"Diego")+SUMIFS('Holgura'!$I$6:$I$11,'Holgura'!$B$6:$B$11,$A20,'Holgura'!$E$6:$E$11,"Ambos")+SUMIFS('Entrega'!$I$6:$I$9,'Entrega'!$B$6:$B$9,$A20,'Entrega'!$E$6:$E$9,"Diego")+SUMIFS('Entrega'!$I$6:$I$9,'Entrega'!$B$6:$B$9,$A20,'Entrega'!$E$6:$E$9,"Ambos")+SUMIFS('Defensa'!$I$6:$I$10,'Defensa'!$B$6:$B$10,$A20,'Defensa'!$E$6:$E$10,"Diego")+SUMIFS('Defensa'!$I$6:$I$10,'Defensa'!$B$6:$B$10,$A20,'Defensa'!$E$6:$E$10,"Ambos")</f>
        <v/>
      </c>
      <c r="F20" s="21">
        <f>COUNTIFS('S1'!$B$6:$B$32,$A20,'S1'!$E$6:$E$32,"Víctor")+COUNTIFS('S1'!$B$6:$B$32,$A20,'S1'!$E$6:$E$32,"Ambos")+COUNTIFS('S2'!$B$6:$B$23,$A20,'S2'!$E$6:$E$23,"Víctor")+COUNTIFS('S2'!$B$6:$B$23,$A20,'S2'!$E$6:$E$23,"Ambos")+COUNTIFS('S3'!$B$6:$B$24,$A20,'S3'!$E$6:$E$24,"Víctor")+COUNTIFS('S3'!$B$6:$B$24,$A20,'S3'!$E$6:$E$24,"Ambos")+COUNTIFS('S4'!$B$6:$B$22,$A20,'S4'!$E$6:$E$22,"Víctor")+COUNTIFS('S4'!$B$6:$B$22,$A20,'S4'!$E$6:$E$22,"Ambos")+COUNTIFS('S5'!$B$6:$B$20,$A20,'S5'!$E$6:$E$20,"Víctor")+COUNTIFS('S5'!$B$6:$B$20,$A20,'S5'!$E$6:$E$20,"Ambos")+COUNTIFS('S6'!$B$6:$B$17,$A20,'S6'!$E$6:$E$17,"Víctor")+COUNTIFS('S6'!$B$6:$B$17,$A20,'S6'!$E$6:$E$17,"Ambos")+COUNTIFS('S7'!$B$6:$B$19,$A20,'S7'!$E$6:$E$19,"Víctor")+COUNTIFS('S7'!$B$6:$B$19,$A20,'S7'!$E$6:$E$19,"Ambos")+COUNTIFS('S8'!$B$6:$B$23,$A20,'S8'!$E$6:$E$23,"Víctor")+COUNTIFS('S8'!$B$6:$B$23,$A20,'S8'!$E$6:$E$23,"Ambos")+COUNTIFS('S9'!$B$6:$B$15,$A20,'S9'!$E$6:$E$15,"Víctor")+COUNTIFS('S9'!$B$6:$B$15,$A20,'S9'!$E$6:$E$15,"Ambos")+COUNTIFS('S10'!$B$6:$B$13,$A20,'S10'!$E$6:$E$13,"Víctor")+COUNTIFS('S10'!$B$6:$B$13,$A20,'S10'!$E$6:$E$13,"Ambos")+COUNTIFS('Holgura'!$B$6:$B$11,$A20,'Holgura'!$E$6:$E$11,"Víctor")+COUNTIFS('Holgura'!$B$6:$B$11,$A20,'Holgura'!$E$6:$E$11,"Ambos")+COUNTIFS('Entrega'!$B$6:$B$9,$A20,'Entrega'!$E$6:$E$9,"Víctor")+COUNTIFS('Entrega'!$B$6:$B$9,$A20,'Entrega'!$E$6:$E$9,"Ambos")+COUNTIFS('Defensa'!$B$6:$B$10,$A20,'Defensa'!$E$6:$E$10,"Víctor")+COUNTIFS('Defensa'!$B$6:$B$10,$A20,'Defensa'!$E$6:$E$10,"Ambos")</f>
        <v/>
      </c>
      <c r="G20" s="21">
        <f>COUNTIFS('S1'!$B$6:$B$32,$A20,'S1'!$E$6:$E$32,"Diego")+COUNTIFS('S1'!$B$6:$B$32,$A20,'S1'!$E$6:$E$32,"Ambos")+COUNTIFS('S2'!$B$6:$B$23,$A20,'S2'!$E$6:$E$23,"Diego")+COUNTIFS('S2'!$B$6:$B$23,$A20,'S2'!$E$6:$E$23,"Ambos")+COUNTIFS('S3'!$B$6:$B$24,$A20,'S3'!$E$6:$E$24,"Diego")+COUNTIFS('S3'!$B$6:$B$24,$A20,'S3'!$E$6:$E$24,"Ambos")+COUNTIFS('S4'!$B$6:$B$22,$A20,'S4'!$E$6:$E$22,"Diego")+COUNTIFS('S4'!$B$6:$B$22,$A20,'S4'!$E$6:$E$22,"Ambos")+COUNTIFS('S5'!$B$6:$B$20,$A20,'S5'!$E$6:$E$20,"Diego")+COUNTIFS('S5'!$B$6:$B$20,$A20,'S5'!$E$6:$E$20,"Ambos")+COUNTIFS('S6'!$B$6:$B$17,$A20,'S6'!$E$6:$E$17,"Diego")+COUNTIFS('S6'!$B$6:$B$17,$A20,'S6'!$E$6:$E$17,"Ambos")+COUNTIFS('S7'!$B$6:$B$19,$A20,'S7'!$E$6:$E$19,"Diego")+COUNTIFS('S7'!$B$6:$B$19,$A20,'S7'!$E$6:$E$19,"Ambos")+COUNTIFS('S8'!$B$6:$B$23,$A20,'S8'!$E$6:$E$23,"Diego")+COUNTIFS('S8'!$B$6:$B$23,$A20,'S8'!$E$6:$E$23,"Ambos")+COUNTIFS('S9'!$B$6:$B$15,$A20,'S9'!$E$6:$E$15,"Diego")+COUNTIFS('S9'!$B$6:$B$15,$A20,'S9'!$E$6:$E$15,"Ambos")+COUNTIFS('S10'!$B$6:$B$13,$A20,'S10'!$E$6:$E$13,"Diego")+COUNTIFS('S10'!$B$6:$B$13,$A20,'S10'!$E$6:$E$13,"Ambos")+COUNTIFS('Holgura'!$B$6:$B$11,$A20,'Holgura'!$E$6:$E$11,"Diego")+COUNTIFS('Holgura'!$B$6:$B$11,$A20,'Holgura'!$E$6:$E$11,"Ambos")+COUNTIFS('Entrega'!$B$6:$B$9,$A20,'Entrega'!$E$6:$E$9,"Diego")+COUNTIFS('Entrega'!$B$6:$B$9,$A20,'Entrega'!$E$6:$E$9,"Ambos")+COUNTIFS('Defensa'!$B$6:$B$10,$A20,'Defensa'!$E$6:$E$10,"Diego")+COUNTIFS('Defensa'!$B$6:$B$10,$A20,'Defensa'!$E$6:$E$10,"Ambos")</f>
        <v/>
      </c>
    </row>
    <row r="21">
      <c r="A21" s="25" t="n">
        <v>46323</v>
      </c>
      <c r="B21" s="26">
        <f>A21</f>
        <v/>
      </c>
      <c r="C21" s="21">
        <f>IF(WEEKDAY(A21,2)&gt;5,4,2)</f>
        <v/>
      </c>
      <c r="D21" s="21">
        <f>SUMIFS('S1'!$I$6:$I$32,'S1'!$B$6:$B$32,$A21,'S1'!$E$6:$E$32,"Víctor")+SUMIFS('S1'!$I$6:$I$32,'S1'!$B$6:$B$32,$A21,'S1'!$E$6:$E$32,"Ambos")+SUMIFS('S2'!$I$6:$I$23,'S2'!$B$6:$B$23,$A21,'S2'!$E$6:$E$23,"Víctor")+SUMIFS('S2'!$I$6:$I$23,'S2'!$B$6:$B$23,$A21,'S2'!$E$6:$E$23,"Ambos")+SUMIFS('S3'!$I$6:$I$24,'S3'!$B$6:$B$24,$A21,'S3'!$E$6:$E$24,"Víctor")+SUMIFS('S3'!$I$6:$I$24,'S3'!$B$6:$B$24,$A21,'S3'!$E$6:$E$24,"Ambos")+SUMIFS('S4'!$I$6:$I$22,'S4'!$B$6:$B$22,$A21,'S4'!$E$6:$E$22,"Víctor")+SUMIFS('S4'!$I$6:$I$22,'S4'!$B$6:$B$22,$A21,'S4'!$E$6:$E$22,"Ambos")+SUMIFS('S5'!$I$6:$I$20,'S5'!$B$6:$B$20,$A21,'S5'!$E$6:$E$20,"Víctor")+SUMIFS('S5'!$I$6:$I$20,'S5'!$B$6:$B$20,$A21,'S5'!$E$6:$E$20,"Ambos")+SUMIFS('S6'!$I$6:$I$17,'S6'!$B$6:$B$17,$A21,'S6'!$E$6:$E$17,"Víctor")+SUMIFS('S6'!$I$6:$I$17,'S6'!$B$6:$B$17,$A21,'S6'!$E$6:$E$17,"Ambos")+SUMIFS('S7'!$I$6:$I$19,'S7'!$B$6:$B$19,$A21,'S7'!$E$6:$E$19,"Víctor")+SUMIFS('S7'!$I$6:$I$19,'S7'!$B$6:$B$19,$A21,'S7'!$E$6:$E$19,"Ambos")+SUMIFS('S8'!$I$6:$I$23,'S8'!$B$6:$B$23,$A21,'S8'!$E$6:$E$23,"Víctor")+SUMIFS('S8'!$I$6:$I$23,'S8'!$B$6:$B$23,$A21,'S8'!$E$6:$E$23,"Ambos")+SUMIFS('S9'!$I$6:$I$15,'S9'!$B$6:$B$15,$A21,'S9'!$E$6:$E$15,"Víctor")+SUMIFS('S9'!$I$6:$I$15,'S9'!$B$6:$B$15,$A21,'S9'!$E$6:$E$15,"Ambos")+SUMIFS('S10'!$I$6:$I$13,'S10'!$B$6:$B$13,$A21,'S10'!$E$6:$E$13,"Víctor")+SUMIFS('S10'!$I$6:$I$13,'S10'!$B$6:$B$13,$A21,'S10'!$E$6:$E$13,"Ambos")+SUMIFS('Holgura'!$I$6:$I$11,'Holgura'!$B$6:$B$11,$A21,'Holgura'!$E$6:$E$11,"Víctor")+SUMIFS('Holgura'!$I$6:$I$11,'Holgura'!$B$6:$B$11,$A21,'Holgura'!$E$6:$E$11,"Ambos")+SUMIFS('Entrega'!$I$6:$I$9,'Entrega'!$B$6:$B$9,$A21,'Entrega'!$E$6:$E$9,"Víctor")+SUMIFS('Entrega'!$I$6:$I$9,'Entrega'!$B$6:$B$9,$A21,'Entrega'!$E$6:$E$9,"Ambos")+SUMIFS('Defensa'!$I$6:$I$10,'Defensa'!$B$6:$B$10,$A21,'Defensa'!$E$6:$E$10,"Víctor")+SUMIFS('Defensa'!$I$6:$I$10,'Defensa'!$B$6:$B$10,$A21,'Defensa'!$E$6:$E$10,"Ambos")</f>
        <v/>
      </c>
      <c r="E21" s="21">
        <f>SUMIFS('S1'!$I$6:$I$32,'S1'!$B$6:$B$32,$A21,'S1'!$E$6:$E$32,"Diego")+SUMIFS('S1'!$I$6:$I$32,'S1'!$B$6:$B$32,$A21,'S1'!$E$6:$E$32,"Ambos")+SUMIFS('S2'!$I$6:$I$23,'S2'!$B$6:$B$23,$A21,'S2'!$E$6:$E$23,"Diego")+SUMIFS('S2'!$I$6:$I$23,'S2'!$B$6:$B$23,$A21,'S2'!$E$6:$E$23,"Ambos")+SUMIFS('S3'!$I$6:$I$24,'S3'!$B$6:$B$24,$A21,'S3'!$E$6:$E$24,"Diego")+SUMIFS('S3'!$I$6:$I$24,'S3'!$B$6:$B$24,$A21,'S3'!$E$6:$E$24,"Ambos")+SUMIFS('S4'!$I$6:$I$22,'S4'!$B$6:$B$22,$A21,'S4'!$E$6:$E$22,"Diego")+SUMIFS('S4'!$I$6:$I$22,'S4'!$B$6:$B$22,$A21,'S4'!$E$6:$E$22,"Ambos")+SUMIFS('S5'!$I$6:$I$20,'S5'!$B$6:$B$20,$A21,'S5'!$E$6:$E$20,"Diego")+SUMIFS('S5'!$I$6:$I$20,'S5'!$B$6:$B$20,$A21,'S5'!$E$6:$E$20,"Ambos")+SUMIFS('S6'!$I$6:$I$17,'S6'!$B$6:$B$17,$A21,'S6'!$E$6:$E$17,"Diego")+SUMIFS('S6'!$I$6:$I$17,'S6'!$B$6:$B$17,$A21,'S6'!$E$6:$E$17,"Ambos")+SUMIFS('S7'!$I$6:$I$19,'S7'!$B$6:$B$19,$A21,'S7'!$E$6:$E$19,"Diego")+SUMIFS('S7'!$I$6:$I$19,'S7'!$B$6:$B$19,$A21,'S7'!$E$6:$E$19,"Ambos")+SUMIFS('S8'!$I$6:$I$23,'S8'!$B$6:$B$23,$A21,'S8'!$E$6:$E$23,"Diego")+SUMIFS('S8'!$I$6:$I$23,'S8'!$B$6:$B$23,$A21,'S8'!$E$6:$E$23,"Ambos")+SUMIFS('S9'!$I$6:$I$15,'S9'!$B$6:$B$15,$A21,'S9'!$E$6:$E$15,"Diego")+SUMIFS('S9'!$I$6:$I$15,'S9'!$B$6:$B$15,$A21,'S9'!$E$6:$E$15,"Ambos")+SUMIFS('S10'!$I$6:$I$13,'S10'!$B$6:$B$13,$A21,'S10'!$E$6:$E$13,"Diego")+SUMIFS('S10'!$I$6:$I$13,'S10'!$B$6:$B$13,$A21,'S10'!$E$6:$E$13,"Ambos")+SUMIFS('Holgura'!$I$6:$I$11,'Holgura'!$B$6:$B$11,$A21,'Holgura'!$E$6:$E$11,"Diego")+SUMIFS('Holgura'!$I$6:$I$11,'Holgura'!$B$6:$B$11,$A21,'Holgura'!$E$6:$E$11,"Ambos")+SUMIFS('Entrega'!$I$6:$I$9,'Entrega'!$B$6:$B$9,$A21,'Entrega'!$E$6:$E$9,"Diego")+SUMIFS('Entrega'!$I$6:$I$9,'Entrega'!$B$6:$B$9,$A21,'Entrega'!$E$6:$E$9,"Ambos")+SUMIFS('Defensa'!$I$6:$I$10,'Defensa'!$B$6:$B$10,$A21,'Defensa'!$E$6:$E$10,"Diego")+SUMIFS('Defensa'!$I$6:$I$10,'Defensa'!$B$6:$B$10,$A21,'Defensa'!$E$6:$E$10,"Ambos")</f>
        <v/>
      </c>
      <c r="F21" s="21">
        <f>COUNTIFS('S1'!$B$6:$B$32,$A21,'S1'!$E$6:$E$32,"Víctor")+COUNTIFS('S1'!$B$6:$B$32,$A21,'S1'!$E$6:$E$32,"Ambos")+COUNTIFS('S2'!$B$6:$B$23,$A21,'S2'!$E$6:$E$23,"Víctor")+COUNTIFS('S2'!$B$6:$B$23,$A21,'S2'!$E$6:$E$23,"Ambos")+COUNTIFS('S3'!$B$6:$B$24,$A21,'S3'!$E$6:$E$24,"Víctor")+COUNTIFS('S3'!$B$6:$B$24,$A21,'S3'!$E$6:$E$24,"Ambos")+COUNTIFS('S4'!$B$6:$B$22,$A21,'S4'!$E$6:$E$22,"Víctor")+COUNTIFS('S4'!$B$6:$B$22,$A21,'S4'!$E$6:$E$22,"Ambos")+COUNTIFS('S5'!$B$6:$B$20,$A21,'S5'!$E$6:$E$20,"Víctor")+COUNTIFS('S5'!$B$6:$B$20,$A21,'S5'!$E$6:$E$20,"Ambos")+COUNTIFS('S6'!$B$6:$B$17,$A21,'S6'!$E$6:$E$17,"Víctor")+COUNTIFS('S6'!$B$6:$B$17,$A21,'S6'!$E$6:$E$17,"Ambos")+COUNTIFS('S7'!$B$6:$B$19,$A21,'S7'!$E$6:$E$19,"Víctor")+COUNTIFS('S7'!$B$6:$B$19,$A21,'S7'!$E$6:$E$19,"Ambos")+COUNTIFS('S8'!$B$6:$B$23,$A21,'S8'!$E$6:$E$23,"Víctor")+COUNTIFS('S8'!$B$6:$B$23,$A21,'S8'!$E$6:$E$23,"Ambos")+COUNTIFS('S9'!$B$6:$B$15,$A21,'S9'!$E$6:$E$15,"Víctor")+COUNTIFS('S9'!$B$6:$B$15,$A21,'S9'!$E$6:$E$15,"Ambos")+COUNTIFS('S10'!$B$6:$B$13,$A21,'S10'!$E$6:$E$13,"Víctor")+COUNTIFS('S10'!$B$6:$B$13,$A21,'S10'!$E$6:$E$13,"Ambos")+COUNTIFS('Holgura'!$B$6:$B$11,$A21,'Holgura'!$E$6:$E$11,"Víctor")+COUNTIFS('Holgura'!$B$6:$B$11,$A21,'Holgura'!$E$6:$E$11,"Ambos")+COUNTIFS('Entrega'!$B$6:$B$9,$A21,'Entrega'!$E$6:$E$9,"Víctor")+COUNTIFS('Entrega'!$B$6:$B$9,$A21,'Entrega'!$E$6:$E$9,"Ambos")+COUNTIFS('Defensa'!$B$6:$B$10,$A21,'Defensa'!$E$6:$E$10,"Víctor")+COUNTIFS('Defensa'!$B$6:$B$10,$A21,'Defensa'!$E$6:$E$10,"Ambos")</f>
        <v/>
      </c>
      <c r="G21" s="21">
        <f>COUNTIFS('S1'!$B$6:$B$32,$A21,'S1'!$E$6:$E$32,"Diego")+COUNTIFS('S1'!$B$6:$B$32,$A21,'S1'!$E$6:$E$32,"Ambos")+COUNTIFS('S2'!$B$6:$B$23,$A21,'S2'!$E$6:$E$23,"Diego")+COUNTIFS('S2'!$B$6:$B$23,$A21,'S2'!$E$6:$E$23,"Ambos")+COUNTIFS('S3'!$B$6:$B$24,$A21,'S3'!$E$6:$E$24,"Diego")+COUNTIFS('S3'!$B$6:$B$24,$A21,'S3'!$E$6:$E$24,"Ambos")+COUNTIFS('S4'!$B$6:$B$22,$A21,'S4'!$E$6:$E$22,"Diego")+COUNTIFS('S4'!$B$6:$B$22,$A21,'S4'!$E$6:$E$22,"Ambos")+COUNTIFS('S5'!$B$6:$B$20,$A21,'S5'!$E$6:$E$20,"Diego")+COUNTIFS('S5'!$B$6:$B$20,$A21,'S5'!$E$6:$E$20,"Ambos")+COUNTIFS('S6'!$B$6:$B$17,$A21,'S6'!$E$6:$E$17,"Diego")+COUNTIFS('S6'!$B$6:$B$17,$A21,'S6'!$E$6:$E$17,"Ambos")+COUNTIFS('S7'!$B$6:$B$19,$A21,'S7'!$E$6:$E$19,"Diego")+COUNTIFS('S7'!$B$6:$B$19,$A21,'S7'!$E$6:$E$19,"Ambos")+COUNTIFS('S8'!$B$6:$B$23,$A21,'S8'!$E$6:$E$23,"Diego")+COUNTIFS('S8'!$B$6:$B$23,$A21,'S8'!$E$6:$E$23,"Ambos")+COUNTIFS('S9'!$B$6:$B$15,$A21,'S9'!$E$6:$E$15,"Diego")+COUNTIFS('S9'!$B$6:$B$15,$A21,'S9'!$E$6:$E$15,"Ambos")+COUNTIFS('S10'!$B$6:$B$13,$A21,'S10'!$E$6:$E$13,"Diego")+COUNTIFS('S10'!$B$6:$B$13,$A21,'S10'!$E$6:$E$13,"Ambos")+COUNTIFS('Holgura'!$B$6:$B$11,$A21,'Holgura'!$E$6:$E$11,"Diego")+COUNTIFS('Holgura'!$B$6:$B$11,$A21,'Holgura'!$E$6:$E$11,"Ambos")+COUNTIFS('Entrega'!$B$6:$B$9,$A21,'Entrega'!$E$6:$E$9,"Diego")+COUNTIFS('Entrega'!$B$6:$B$9,$A21,'Entrega'!$E$6:$E$9,"Ambos")+COUNTIFS('Defensa'!$B$6:$B$10,$A21,'Defensa'!$E$6:$E$10,"Diego")+COUNTIFS('Defensa'!$B$6:$B$10,$A21,'Defensa'!$E$6:$E$10,"Ambos")</f>
        <v/>
      </c>
    </row>
    <row r="22">
      <c r="A22" s="25" t="n">
        <v>46324</v>
      </c>
      <c r="B22" s="26">
        <f>A22</f>
        <v/>
      </c>
      <c r="C22" s="21">
        <f>IF(WEEKDAY(A22,2)&gt;5,4,2)</f>
        <v/>
      </c>
      <c r="D22" s="21">
        <f>SUMIFS('S1'!$I$6:$I$32,'S1'!$B$6:$B$32,$A22,'S1'!$E$6:$E$32,"Víctor")+SUMIFS('S1'!$I$6:$I$32,'S1'!$B$6:$B$32,$A22,'S1'!$E$6:$E$32,"Ambos")+SUMIFS('S2'!$I$6:$I$23,'S2'!$B$6:$B$23,$A22,'S2'!$E$6:$E$23,"Víctor")+SUMIFS('S2'!$I$6:$I$23,'S2'!$B$6:$B$23,$A22,'S2'!$E$6:$E$23,"Ambos")+SUMIFS('S3'!$I$6:$I$24,'S3'!$B$6:$B$24,$A22,'S3'!$E$6:$E$24,"Víctor")+SUMIFS('S3'!$I$6:$I$24,'S3'!$B$6:$B$24,$A22,'S3'!$E$6:$E$24,"Ambos")+SUMIFS('S4'!$I$6:$I$22,'S4'!$B$6:$B$22,$A22,'S4'!$E$6:$E$22,"Víctor")+SUMIFS('S4'!$I$6:$I$22,'S4'!$B$6:$B$22,$A22,'S4'!$E$6:$E$22,"Ambos")+SUMIFS('S5'!$I$6:$I$20,'S5'!$B$6:$B$20,$A22,'S5'!$E$6:$E$20,"Víctor")+SUMIFS('S5'!$I$6:$I$20,'S5'!$B$6:$B$20,$A22,'S5'!$E$6:$E$20,"Ambos")+SUMIFS('S6'!$I$6:$I$17,'S6'!$B$6:$B$17,$A22,'S6'!$E$6:$E$17,"Víctor")+SUMIFS('S6'!$I$6:$I$17,'S6'!$B$6:$B$17,$A22,'S6'!$E$6:$E$17,"Ambos")+SUMIFS('S7'!$I$6:$I$19,'S7'!$B$6:$B$19,$A22,'S7'!$E$6:$E$19,"Víctor")+SUMIFS('S7'!$I$6:$I$19,'S7'!$B$6:$B$19,$A22,'S7'!$E$6:$E$19,"Ambos")+SUMIFS('S8'!$I$6:$I$23,'S8'!$B$6:$B$23,$A22,'S8'!$E$6:$E$23,"Víctor")+SUMIFS('S8'!$I$6:$I$23,'S8'!$B$6:$B$23,$A22,'S8'!$E$6:$E$23,"Ambos")+SUMIFS('S9'!$I$6:$I$15,'S9'!$B$6:$B$15,$A22,'S9'!$E$6:$E$15,"Víctor")+SUMIFS('S9'!$I$6:$I$15,'S9'!$B$6:$B$15,$A22,'S9'!$E$6:$E$15,"Ambos")+SUMIFS('S10'!$I$6:$I$13,'S10'!$B$6:$B$13,$A22,'S10'!$E$6:$E$13,"Víctor")+SUMIFS('S10'!$I$6:$I$13,'S10'!$B$6:$B$13,$A22,'S10'!$E$6:$E$13,"Ambos")+SUMIFS('Holgura'!$I$6:$I$11,'Holgura'!$B$6:$B$11,$A22,'Holgura'!$E$6:$E$11,"Víctor")+SUMIFS('Holgura'!$I$6:$I$11,'Holgura'!$B$6:$B$11,$A22,'Holgura'!$E$6:$E$11,"Ambos")+SUMIFS('Entrega'!$I$6:$I$9,'Entrega'!$B$6:$B$9,$A22,'Entrega'!$E$6:$E$9,"Víctor")+SUMIFS('Entrega'!$I$6:$I$9,'Entrega'!$B$6:$B$9,$A22,'Entrega'!$E$6:$E$9,"Ambos")+SUMIFS('Defensa'!$I$6:$I$10,'Defensa'!$B$6:$B$10,$A22,'Defensa'!$E$6:$E$10,"Víctor")+SUMIFS('Defensa'!$I$6:$I$10,'Defensa'!$B$6:$B$10,$A22,'Defensa'!$E$6:$E$10,"Ambos")</f>
        <v/>
      </c>
      <c r="E22" s="21">
        <f>SUMIFS('S1'!$I$6:$I$32,'S1'!$B$6:$B$32,$A22,'S1'!$E$6:$E$32,"Diego")+SUMIFS('S1'!$I$6:$I$32,'S1'!$B$6:$B$32,$A22,'S1'!$E$6:$E$32,"Ambos")+SUMIFS('S2'!$I$6:$I$23,'S2'!$B$6:$B$23,$A22,'S2'!$E$6:$E$23,"Diego")+SUMIFS('S2'!$I$6:$I$23,'S2'!$B$6:$B$23,$A22,'S2'!$E$6:$E$23,"Ambos")+SUMIFS('S3'!$I$6:$I$24,'S3'!$B$6:$B$24,$A22,'S3'!$E$6:$E$24,"Diego")+SUMIFS('S3'!$I$6:$I$24,'S3'!$B$6:$B$24,$A22,'S3'!$E$6:$E$24,"Ambos")+SUMIFS('S4'!$I$6:$I$22,'S4'!$B$6:$B$22,$A22,'S4'!$E$6:$E$22,"Diego")+SUMIFS('S4'!$I$6:$I$22,'S4'!$B$6:$B$22,$A22,'S4'!$E$6:$E$22,"Ambos")+SUMIFS('S5'!$I$6:$I$20,'S5'!$B$6:$B$20,$A22,'S5'!$E$6:$E$20,"Diego")+SUMIFS('S5'!$I$6:$I$20,'S5'!$B$6:$B$20,$A22,'S5'!$E$6:$E$20,"Ambos")+SUMIFS('S6'!$I$6:$I$17,'S6'!$B$6:$B$17,$A22,'S6'!$E$6:$E$17,"Diego")+SUMIFS('S6'!$I$6:$I$17,'S6'!$B$6:$B$17,$A22,'S6'!$E$6:$E$17,"Ambos")+SUMIFS('S7'!$I$6:$I$19,'S7'!$B$6:$B$19,$A22,'S7'!$E$6:$E$19,"Diego")+SUMIFS('S7'!$I$6:$I$19,'S7'!$B$6:$B$19,$A22,'S7'!$E$6:$E$19,"Ambos")+SUMIFS('S8'!$I$6:$I$23,'S8'!$B$6:$B$23,$A22,'S8'!$E$6:$E$23,"Diego")+SUMIFS('S8'!$I$6:$I$23,'S8'!$B$6:$B$23,$A22,'S8'!$E$6:$E$23,"Ambos")+SUMIFS('S9'!$I$6:$I$15,'S9'!$B$6:$B$15,$A22,'S9'!$E$6:$E$15,"Diego")+SUMIFS('S9'!$I$6:$I$15,'S9'!$B$6:$B$15,$A22,'S9'!$E$6:$E$15,"Ambos")+SUMIFS('S10'!$I$6:$I$13,'S10'!$B$6:$B$13,$A22,'S10'!$E$6:$E$13,"Diego")+SUMIFS('S10'!$I$6:$I$13,'S10'!$B$6:$B$13,$A22,'S10'!$E$6:$E$13,"Ambos")+SUMIFS('Holgura'!$I$6:$I$11,'Holgura'!$B$6:$B$11,$A22,'Holgura'!$E$6:$E$11,"Diego")+SUMIFS('Holgura'!$I$6:$I$11,'Holgura'!$B$6:$B$11,$A22,'Holgura'!$E$6:$E$11,"Ambos")+SUMIFS('Entrega'!$I$6:$I$9,'Entrega'!$B$6:$B$9,$A22,'Entrega'!$E$6:$E$9,"Diego")+SUMIFS('Entrega'!$I$6:$I$9,'Entrega'!$B$6:$B$9,$A22,'Entrega'!$E$6:$E$9,"Ambos")+SUMIFS('Defensa'!$I$6:$I$10,'Defensa'!$B$6:$B$10,$A22,'Defensa'!$E$6:$E$10,"Diego")+SUMIFS('Defensa'!$I$6:$I$10,'Defensa'!$B$6:$B$10,$A22,'Defensa'!$E$6:$E$10,"Ambos")</f>
        <v/>
      </c>
      <c r="F22" s="21">
        <f>COUNTIFS('S1'!$B$6:$B$32,$A22,'S1'!$E$6:$E$32,"Víctor")+COUNTIFS('S1'!$B$6:$B$32,$A22,'S1'!$E$6:$E$32,"Ambos")+COUNTIFS('S2'!$B$6:$B$23,$A22,'S2'!$E$6:$E$23,"Víctor")+COUNTIFS('S2'!$B$6:$B$23,$A22,'S2'!$E$6:$E$23,"Ambos")+COUNTIFS('S3'!$B$6:$B$24,$A22,'S3'!$E$6:$E$24,"Víctor")+COUNTIFS('S3'!$B$6:$B$24,$A22,'S3'!$E$6:$E$24,"Ambos")+COUNTIFS('S4'!$B$6:$B$22,$A22,'S4'!$E$6:$E$22,"Víctor")+COUNTIFS('S4'!$B$6:$B$22,$A22,'S4'!$E$6:$E$22,"Ambos")+COUNTIFS('S5'!$B$6:$B$20,$A22,'S5'!$E$6:$E$20,"Víctor")+COUNTIFS('S5'!$B$6:$B$20,$A22,'S5'!$E$6:$E$20,"Ambos")+COUNTIFS('S6'!$B$6:$B$17,$A22,'S6'!$E$6:$E$17,"Víctor")+COUNTIFS('S6'!$B$6:$B$17,$A22,'S6'!$E$6:$E$17,"Ambos")+COUNTIFS('S7'!$B$6:$B$19,$A22,'S7'!$E$6:$E$19,"Víctor")+COUNTIFS('S7'!$B$6:$B$19,$A22,'S7'!$E$6:$E$19,"Ambos")+COUNTIFS('S8'!$B$6:$B$23,$A22,'S8'!$E$6:$E$23,"Víctor")+COUNTIFS('S8'!$B$6:$B$23,$A22,'S8'!$E$6:$E$23,"Ambos")+COUNTIFS('S9'!$B$6:$B$15,$A22,'S9'!$E$6:$E$15,"Víctor")+COUNTIFS('S9'!$B$6:$B$15,$A22,'S9'!$E$6:$E$15,"Ambos")+COUNTIFS('S10'!$B$6:$B$13,$A22,'S10'!$E$6:$E$13,"Víctor")+COUNTIFS('S10'!$B$6:$B$13,$A22,'S10'!$E$6:$E$13,"Ambos")+COUNTIFS('Holgura'!$B$6:$B$11,$A22,'Holgura'!$E$6:$E$11,"Víctor")+COUNTIFS('Holgura'!$B$6:$B$11,$A22,'Holgura'!$E$6:$E$11,"Ambos")+COUNTIFS('Entrega'!$B$6:$B$9,$A22,'Entrega'!$E$6:$E$9,"Víctor")+COUNTIFS('Entrega'!$B$6:$B$9,$A22,'Entrega'!$E$6:$E$9,"Ambos")+COUNTIFS('Defensa'!$B$6:$B$10,$A22,'Defensa'!$E$6:$E$10,"Víctor")+COUNTIFS('Defensa'!$B$6:$B$10,$A22,'Defensa'!$E$6:$E$10,"Ambos")</f>
        <v/>
      </c>
      <c r="G22" s="21">
        <f>COUNTIFS('S1'!$B$6:$B$32,$A22,'S1'!$E$6:$E$32,"Diego")+COUNTIFS('S1'!$B$6:$B$32,$A22,'S1'!$E$6:$E$32,"Ambos")+COUNTIFS('S2'!$B$6:$B$23,$A22,'S2'!$E$6:$E$23,"Diego")+COUNTIFS('S2'!$B$6:$B$23,$A22,'S2'!$E$6:$E$23,"Ambos")+COUNTIFS('S3'!$B$6:$B$24,$A22,'S3'!$E$6:$E$24,"Diego")+COUNTIFS('S3'!$B$6:$B$24,$A22,'S3'!$E$6:$E$24,"Ambos")+COUNTIFS('S4'!$B$6:$B$22,$A22,'S4'!$E$6:$E$22,"Diego")+COUNTIFS('S4'!$B$6:$B$22,$A22,'S4'!$E$6:$E$22,"Ambos")+COUNTIFS('S5'!$B$6:$B$20,$A22,'S5'!$E$6:$E$20,"Diego")+COUNTIFS('S5'!$B$6:$B$20,$A22,'S5'!$E$6:$E$20,"Ambos")+COUNTIFS('S6'!$B$6:$B$17,$A22,'S6'!$E$6:$E$17,"Diego")+COUNTIFS('S6'!$B$6:$B$17,$A22,'S6'!$E$6:$E$17,"Ambos")+COUNTIFS('S7'!$B$6:$B$19,$A22,'S7'!$E$6:$E$19,"Diego")+COUNTIFS('S7'!$B$6:$B$19,$A22,'S7'!$E$6:$E$19,"Ambos")+COUNTIFS('S8'!$B$6:$B$23,$A22,'S8'!$E$6:$E$23,"Diego")+COUNTIFS('S8'!$B$6:$B$23,$A22,'S8'!$E$6:$E$23,"Ambos")+COUNTIFS('S9'!$B$6:$B$15,$A22,'S9'!$E$6:$E$15,"Diego")+COUNTIFS('S9'!$B$6:$B$15,$A22,'S9'!$E$6:$E$15,"Ambos")+COUNTIFS('S10'!$B$6:$B$13,$A22,'S10'!$E$6:$E$13,"Diego")+COUNTIFS('S10'!$B$6:$B$13,$A22,'S10'!$E$6:$E$13,"Ambos")+COUNTIFS('Holgura'!$B$6:$B$11,$A22,'Holgura'!$E$6:$E$11,"Diego")+COUNTIFS('Holgura'!$B$6:$B$11,$A22,'Holgura'!$E$6:$E$11,"Ambos")+COUNTIFS('Entrega'!$B$6:$B$9,$A22,'Entrega'!$E$6:$E$9,"Diego")+COUNTIFS('Entrega'!$B$6:$B$9,$A22,'Entrega'!$E$6:$E$9,"Ambos")+COUNTIFS('Defensa'!$B$6:$B$10,$A22,'Defensa'!$E$6:$E$10,"Diego")+COUNTIFS('Defensa'!$B$6:$B$10,$A22,'Defensa'!$E$6:$E$10,"Ambos")</f>
        <v/>
      </c>
    </row>
    <row r="23">
      <c r="A23" s="25" t="n">
        <v>46325</v>
      </c>
      <c r="B23" s="26">
        <f>A23</f>
        <v/>
      </c>
      <c r="C23" s="21">
        <f>IF(WEEKDAY(A23,2)&gt;5,4,2)</f>
        <v/>
      </c>
      <c r="D23" s="21">
        <f>SUMIFS('S1'!$I$6:$I$32,'S1'!$B$6:$B$32,$A23,'S1'!$E$6:$E$32,"Víctor")+SUMIFS('S1'!$I$6:$I$32,'S1'!$B$6:$B$32,$A23,'S1'!$E$6:$E$32,"Ambos")+SUMIFS('S2'!$I$6:$I$23,'S2'!$B$6:$B$23,$A23,'S2'!$E$6:$E$23,"Víctor")+SUMIFS('S2'!$I$6:$I$23,'S2'!$B$6:$B$23,$A23,'S2'!$E$6:$E$23,"Ambos")+SUMIFS('S3'!$I$6:$I$24,'S3'!$B$6:$B$24,$A23,'S3'!$E$6:$E$24,"Víctor")+SUMIFS('S3'!$I$6:$I$24,'S3'!$B$6:$B$24,$A23,'S3'!$E$6:$E$24,"Ambos")+SUMIFS('S4'!$I$6:$I$22,'S4'!$B$6:$B$22,$A23,'S4'!$E$6:$E$22,"Víctor")+SUMIFS('S4'!$I$6:$I$22,'S4'!$B$6:$B$22,$A23,'S4'!$E$6:$E$22,"Ambos")+SUMIFS('S5'!$I$6:$I$20,'S5'!$B$6:$B$20,$A23,'S5'!$E$6:$E$20,"Víctor")+SUMIFS('S5'!$I$6:$I$20,'S5'!$B$6:$B$20,$A23,'S5'!$E$6:$E$20,"Ambos")+SUMIFS('S6'!$I$6:$I$17,'S6'!$B$6:$B$17,$A23,'S6'!$E$6:$E$17,"Víctor")+SUMIFS('S6'!$I$6:$I$17,'S6'!$B$6:$B$17,$A23,'S6'!$E$6:$E$17,"Ambos")+SUMIFS('S7'!$I$6:$I$19,'S7'!$B$6:$B$19,$A23,'S7'!$E$6:$E$19,"Víctor")+SUMIFS('S7'!$I$6:$I$19,'S7'!$B$6:$B$19,$A23,'S7'!$E$6:$E$19,"Ambos")+SUMIFS('S8'!$I$6:$I$23,'S8'!$B$6:$B$23,$A23,'S8'!$E$6:$E$23,"Víctor")+SUMIFS('S8'!$I$6:$I$23,'S8'!$B$6:$B$23,$A23,'S8'!$E$6:$E$23,"Ambos")+SUMIFS('S9'!$I$6:$I$15,'S9'!$B$6:$B$15,$A23,'S9'!$E$6:$E$15,"Víctor")+SUMIFS('S9'!$I$6:$I$15,'S9'!$B$6:$B$15,$A23,'S9'!$E$6:$E$15,"Ambos")+SUMIFS('S10'!$I$6:$I$13,'S10'!$B$6:$B$13,$A23,'S10'!$E$6:$E$13,"Víctor")+SUMIFS('S10'!$I$6:$I$13,'S10'!$B$6:$B$13,$A23,'S10'!$E$6:$E$13,"Ambos")+SUMIFS('Holgura'!$I$6:$I$11,'Holgura'!$B$6:$B$11,$A23,'Holgura'!$E$6:$E$11,"Víctor")+SUMIFS('Holgura'!$I$6:$I$11,'Holgura'!$B$6:$B$11,$A23,'Holgura'!$E$6:$E$11,"Ambos")+SUMIFS('Entrega'!$I$6:$I$9,'Entrega'!$B$6:$B$9,$A23,'Entrega'!$E$6:$E$9,"Víctor")+SUMIFS('Entrega'!$I$6:$I$9,'Entrega'!$B$6:$B$9,$A23,'Entrega'!$E$6:$E$9,"Ambos")+SUMIFS('Defensa'!$I$6:$I$10,'Defensa'!$B$6:$B$10,$A23,'Defensa'!$E$6:$E$10,"Víctor")+SUMIFS('Defensa'!$I$6:$I$10,'Defensa'!$B$6:$B$10,$A23,'Defensa'!$E$6:$E$10,"Ambos")</f>
        <v/>
      </c>
      <c r="E23" s="21">
        <f>SUMIFS('S1'!$I$6:$I$32,'S1'!$B$6:$B$32,$A23,'S1'!$E$6:$E$32,"Diego")+SUMIFS('S1'!$I$6:$I$32,'S1'!$B$6:$B$32,$A23,'S1'!$E$6:$E$32,"Ambos")+SUMIFS('S2'!$I$6:$I$23,'S2'!$B$6:$B$23,$A23,'S2'!$E$6:$E$23,"Diego")+SUMIFS('S2'!$I$6:$I$23,'S2'!$B$6:$B$23,$A23,'S2'!$E$6:$E$23,"Ambos")+SUMIFS('S3'!$I$6:$I$24,'S3'!$B$6:$B$24,$A23,'S3'!$E$6:$E$24,"Diego")+SUMIFS('S3'!$I$6:$I$24,'S3'!$B$6:$B$24,$A23,'S3'!$E$6:$E$24,"Ambos")+SUMIFS('S4'!$I$6:$I$22,'S4'!$B$6:$B$22,$A23,'S4'!$E$6:$E$22,"Diego")+SUMIFS('S4'!$I$6:$I$22,'S4'!$B$6:$B$22,$A23,'S4'!$E$6:$E$22,"Ambos")+SUMIFS('S5'!$I$6:$I$20,'S5'!$B$6:$B$20,$A23,'S5'!$E$6:$E$20,"Diego")+SUMIFS('S5'!$I$6:$I$20,'S5'!$B$6:$B$20,$A23,'S5'!$E$6:$E$20,"Ambos")+SUMIFS('S6'!$I$6:$I$17,'S6'!$B$6:$B$17,$A23,'S6'!$E$6:$E$17,"Diego")+SUMIFS('S6'!$I$6:$I$17,'S6'!$B$6:$B$17,$A23,'S6'!$E$6:$E$17,"Ambos")+SUMIFS('S7'!$I$6:$I$19,'S7'!$B$6:$B$19,$A23,'S7'!$E$6:$E$19,"Diego")+SUMIFS('S7'!$I$6:$I$19,'S7'!$B$6:$B$19,$A23,'S7'!$E$6:$E$19,"Ambos")+SUMIFS('S8'!$I$6:$I$23,'S8'!$B$6:$B$23,$A23,'S8'!$E$6:$E$23,"Diego")+SUMIFS('S8'!$I$6:$I$23,'S8'!$B$6:$B$23,$A23,'S8'!$E$6:$E$23,"Ambos")+SUMIFS('S9'!$I$6:$I$15,'S9'!$B$6:$B$15,$A23,'S9'!$E$6:$E$15,"Diego")+SUMIFS('S9'!$I$6:$I$15,'S9'!$B$6:$B$15,$A23,'S9'!$E$6:$E$15,"Ambos")+SUMIFS('S10'!$I$6:$I$13,'S10'!$B$6:$B$13,$A23,'S10'!$E$6:$E$13,"Diego")+SUMIFS('S10'!$I$6:$I$13,'S10'!$B$6:$B$13,$A23,'S10'!$E$6:$E$13,"Ambos")+SUMIFS('Holgura'!$I$6:$I$11,'Holgura'!$B$6:$B$11,$A23,'Holgura'!$E$6:$E$11,"Diego")+SUMIFS('Holgura'!$I$6:$I$11,'Holgura'!$B$6:$B$11,$A23,'Holgura'!$E$6:$E$11,"Ambos")+SUMIFS('Entrega'!$I$6:$I$9,'Entrega'!$B$6:$B$9,$A23,'Entrega'!$E$6:$E$9,"Diego")+SUMIFS('Entrega'!$I$6:$I$9,'Entrega'!$B$6:$B$9,$A23,'Entrega'!$E$6:$E$9,"Ambos")+SUMIFS('Defensa'!$I$6:$I$10,'Defensa'!$B$6:$B$10,$A23,'Defensa'!$E$6:$E$10,"Diego")+SUMIFS('Defensa'!$I$6:$I$10,'Defensa'!$B$6:$B$10,$A23,'Defensa'!$E$6:$E$10,"Ambos")</f>
        <v/>
      </c>
      <c r="F23" s="21">
        <f>COUNTIFS('S1'!$B$6:$B$32,$A23,'S1'!$E$6:$E$32,"Víctor")+COUNTIFS('S1'!$B$6:$B$32,$A23,'S1'!$E$6:$E$32,"Ambos")+COUNTIFS('S2'!$B$6:$B$23,$A23,'S2'!$E$6:$E$23,"Víctor")+COUNTIFS('S2'!$B$6:$B$23,$A23,'S2'!$E$6:$E$23,"Ambos")+COUNTIFS('S3'!$B$6:$B$24,$A23,'S3'!$E$6:$E$24,"Víctor")+COUNTIFS('S3'!$B$6:$B$24,$A23,'S3'!$E$6:$E$24,"Ambos")+COUNTIFS('S4'!$B$6:$B$22,$A23,'S4'!$E$6:$E$22,"Víctor")+COUNTIFS('S4'!$B$6:$B$22,$A23,'S4'!$E$6:$E$22,"Ambos")+COUNTIFS('S5'!$B$6:$B$20,$A23,'S5'!$E$6:$E$20,"Víctor")+COUNTIFS('S5'!$B$6:$B$20,$A23,'S5'!$E$6:$E$20,"Ambos")+COUNTIFS('S6'!$B$6:$B$17,$A23,'S6'!$E$6:$E$17,"Víctor")+COUNTIFS('S6'!$B$6:$B$17,$A23,'S6'!$E$6:$E$17,"Ambos")+COUNTIFS('S7'!$B$6:$B$19,$A23,'S7'!$E$6:$E$19,"Víctor")+COUNTIFS('S7'!$B$6:$B$19,$A23,'S7'!$E$6:$E$19,"Ambos")+COUNTIFS('S8'!$B$6:$B$23,$A23,'S8'!$E$6:$E$23,"Víctor")+COUNTIFS('S8'!$B$6:$B$23,$A23,'S8'!$E$6:$E$23,"Ambos")+COUNTIFS('S9'!$B$6:$B$15,$A23,'S9'!$E$6:$E$15,"Víctor")+COUNTIFS('S9'!$B$6:$B$15,$A23,'S9'!$E$6:$E$15,"Ambos")+COUNTIFS('S10'!$B$6:$B$13,$A23,'S10'!$E$6:$E$13,"Víctor")+COUNTIFS('S10'!$B$6:$B$13,$A23,'S10'!$E$6:$E$13,"Ambos")+COUNTIFS('Holgura'!$B$6:$B$11,$A23,'Holgura'!$E$6:$E$11,"Víctor")+COUNTIFS('Holgura'!$B$6:$B$11,$A23,'Holgura'!$E$6:$E$11,"Ambos")+COUNTIFS('Entrega'!$B$6:$B$9,$A23,'Entrega'!$E$6:$E$9,"Víctor")+COUNTIFS('Entrega'!$B$6:$B$9,$A23,'Entrega'!$E$6:$E$9,"Ambos")+COUNTIFS('Defensa'!$B$6:$B$10,$A23,'Defensa'!$E$6:$E$10,"Víctor")+COUNTIFS('Defensa'!$B$6:$B$10,$A23,'Defensa'!$E$6:$E$10,"Ambos")</f>
        <v/>
      </c>
      <c r="G23" s="21">
        <f>COUNTIFS('S1'!$B$6:$B$32,$A23,'S1'!$E$6:$E$32,"Diego")+COUNTIFS('S1'!$B$6:$B$32,$A23,'S1'!$E$6:$E$32,"Ambos")+COUNTIFS('S2'!$B$6:$B$23,$A23,'S2'!$E$6:$E$23,"Diego")+COUNTIFS('S2'!$B$6:$B$23,$A23,'S2'!$E$6:$E$23,"Ambos")+COUNTIFS('S3'!$B$6:$B$24,$A23,'S3'!$E$6:$E$24,"Diego")+COUNTIFS('S3'!$B$6:$B$24,$A23,'S3'!$E$6:$E$24,"Ambos")+COUNTIFS('S4'!$B$6:$B$22,$A23,'S4'!$E$6:$E$22,"Diego")+COUNTIFS('S4'!$B$6:$B$22,$A23,'S4'!$E$6:$E$22,"Ambos")+COUNTIFS('S5'!$B$6:$B$20,$A23,'S5'!$E$6:$E$20,"Diego")+COUNTIFS('S5'!$B$6:$B$20,$A23,'S5'!$E$6:$E$20,"Ambos")+COUNTIFS('S6'!$B$6:$B$17,$A23,'S6'!$E$6:$E$17,"Diego")+COUNTIFS('S6'!$B$6:$B$17,$A23,'S6'!$E$6:$E$17,"Ambos")+COUNTIFS('S7'!$B$6:$B$19,$A23,'S7'!$E$6:$E$19,"Diego")+COUNTIFS('S7'!$B$6:$B$19,$A23,'S7'!$E$6:$E$19,"Ambos")+COUNTIFS('S8'!$B$6:$B$23,$A23,'S8'!$E$6:$E$23,"Diego")+COUNTIFS('S8'!$B$6:$B$23,$A23,'S8'!$E$6:$E$23,"Ambos")+COUNTIFS('S9'!$B$6:$B$15,$A23,'S9'!$E$6:$E$15,"Diego")+COUNTIFS('S9'!$B$6:$B$15,$A23,'S9'!$E$6:$E$15,"Ambos")+COUNTIFS('S10'!$B$6:$B$13,$A23,'S10'!$E$6:$E$13,"Diego")+COUNTIFS('S10'!$B$6:$B$13,$A23,'S10'!$E$6:$E$13,"Ambos")+COUNTIFS('Holgura'!$B$6:$B$11,$A23,'Holgura'!$E$6:$E$11,"Diego")+COUNTIFS('Holgura'!$B$6:$B$11,$A23,'Holgura'!$E$6:$E$11,"Ambos")+COUNTIFS('Entrega'!$B$6:$B$9,$A23,'Entrega'!$E$6:$E$9,"Diego")+COUNTIFS('Entrega'!$B$6:$B$9,$A23,'Entrega'!$E$6:$E$9,"Ambos")+COUNTIFS('Defensa'!$B$6:$B$10,$A23,'Defensa'!$E$6:$E$10,"Diego")+COUNTIFS('Defensa'!$B$6:$B$10,$A23,'Defensa'!$E$6:$E$10,"Ambos")</f>
        <v/>
      </c>
    </row>
    <row r="24">
      <c r="A24" s="25" t="n">
        <v>46326</v>
      </c>
      <c r="B24" s="26">
        <f>A24</f>
        <v/>
      </c>
      <c r="C24" s="21">
        <f>IF(WEEKDAY(A24,2)&gt;5,4,2)</f>
        <v/>
      </c>
      <c r="D24" s="21">
        <f>SUMIFS('S1'!$I$6:$I$32,'S1'!$B$6:$B$32,$A24,'S1'!$E$6:$E$32,"Víctor")+SUMIFS('S1'!$I$6:$I$32,'S1'!$B$6:$B$32,$A24,'S1'!$E$6:$E$32,"Ambos")+SUMIFS('S2'!$I$6:$I$23,'S2'!$B$6:$B$23,$A24,'S2'!$E$6:$E$23,"Víctor")+SUMIFS('S2'!$I$6:$I$23,'S2'!$B$6:$B$23,$A24,'S2'!$E$6:$E$23,"Ambos")+SUMIFS('S3'!$I$6:$I$24,'S3'!$B$6:$B$24,$A24,'S3'!$E$6:$E$24,"Víctor")+SUMIFS('S3'!$I$6:$I$24,'S3'!$B$6:$B$24,$A24,'S3'!$E$6:$E$24,"Ambos")+SUMIFS('S4'!$I$6:$I$22,'S4'!$B$6:$B$22,$A24,'S4'!$E$6:$E$22,"Víctor")+SUMIFS('S4'!$I$6:$I$22,'S4'!$B$6:$B$22,$A24,'S4'!$E$6:$E$22,"Ambos")+SUMIFS('S5'!$I$6:$I$20,'S5'!$B$6:$B$20,$A24,'S5'!$E$6:$E$20,"Víctor")+SUMIFS('S5'!$I$6:$I$20,'S5'!$B$6:$B$20,$A24,'S5'!$E$6:$E$20,"Ambos")+SUMIFS('S6'!$I$6:$I$17,'S6'!$B$6:$B$17,$A24,'S6'!$E$6:$E$17,"Víctor")+SUMIFS('S6'!$I$6:$I$17,'S6'!$B$6:$B$17,$A24,'S6'!$E$6:$E$17,"Ambos")+SUMIFS('S7'!$I$6:$I$19,'S7'!$B$6:$B$19,$A24,'S7'!$E$6:$E$19,"Víctor")+SUMIFS('S7'!$I$6:$I$19,'S7'!$B$6:$B$19,$A24,'S7'!$E$6:$E$19,"Ambos")+SUMIFS('S8'!$I$6:$I$23,'S8'!$B$6:$B$23,$A24,'S8'!$E$6:$E$23,"Víctor")+SUMIFS('S8'!$I$6:$I$23,'S8'!$B$6:$B$23,$A24,'S8'!$E$6:$E$23,"Ambos")+SUMIFS('S9'!$I$6:$I$15,'S9'!$B$6:$B$15,$A24,'S9'!$E$6:$E$15,"Víctor")+SUMIFS('S9'!$I$6:$I$15,'S9'!$B$6:$B$15,$A24,'S9'!$E$6:$E$15,"Ambos")+SUMIFS('S10'!$I$6:$I$13,'S10'!$B$6:$B$13,$A24,'S10'!$E$6:$E$13,"Víctor")+SUMIFS('S10'!$I$6:$I$13,'S10'!$B$6:$B$13,$A24,'S10'!$E$6:$E$13,"Ambos")+SUMIFS('Holgura'!$I$6:$I$11,'Holgura'!$B$6:$B$11,$A24,'Holgura'!$E$6:$E$11,"Víctor")+SUMIFS('Holgura'!$I$6:$I$11,'Holgura'!$B$6:$B$11,$A24,'Holgura'!$E$6:$E$11,"Ambos")+SUMIFS('Entrega'!$I$6:$I$9,'Entrega'!$B$6:$B$9,$A24,'Entrega'!$E$6:$E$9,"Víctor")+SUMIFS('Entrega'!$I$6:$I$9,'Entrega'!$B$6:$B$9,$A24,'Entrega'!$E$6:$E$9,"Ambos")+SUMIFS('Defensa'!$I$6:$I$10,'Defensa'!$B$6:$B$10,$A24,'Defensa'!$E$6:$E$10,"Víctor")+SUMIFS('Defensa'!$I$6:$I$10,'Defensa'!$B$6:$B$10,$A24,'Defensa'!$E$6:$E$10,"Ambos")</f>
        <v/>
      </c>
      <c r="E24" s="21">
        <f>SUMIFS('S1'!$I$6:$I$32,'S1'!$B$6:$B$32,$A24,'S1'!$E$6:$E$32,"Diego")+SUMIFS('S1'!$I$6:$I$32,'S1'!$B$6:$B$32,$A24,'S1'!$E$6:$E$32,"Ambos")+SUMIFS('S2'!$I$6:$I$23,'S2'!$B$6:$B$23,$A24,'S2'!$E$6:$E$23,"Diego")+SUMIFS('S2'!$I$6:$I$23,'S2'!$B$6:$B$23,$A24,'S2'!$E$6:$E$23,"Ambos")+SUMIFS('S3'!$I$6:$I$24,'S3'!$B$6:$B$24,$A24,'S3'!$E$6:$E$24,"Diego")+SUMIFS('S3'!$I$6:$I$24,'S3'!$B$6:$B$24,$A24,'S3'!$E$6:$E$24,"Ambos")+SUMIFS('S4'!$I$6:$I$22,'S4'!$B$6:$B$22,$A24,'S4'!$E$6:$E$22,"Diego")+SUMIFS('S4'!$I$6:$I$22,'S4'!$B$6:$B$22,$A24,'S4'!$E$6:$E$22,"Ambos")+SUMIFS('S5'!$I$6:$I$20,'S5'!$B$6:$B$20,$A24,'S5'!$E$6:$E$20,"Diego")+SUMIFS('S5'!$I$6:$I$20,'S5'!$B$6:$B$20,$A24,'S5'!$E$6:$E$20,"Ambos")+SUMIFS('S6'!$I$6:$I$17,'S6'!$B$6:$B$17,$A24,'S6'!$E$6:$E$17,"Diego")+SUMIFS('S6'!$I$6:$I$17,'S6'!$B$6:$B$17,$A24,'S6'!$E$6:$E$17,"Ambos")+SUMIFS('S7'!$I$6:$I$19,'S7'!$B$6:$B$19,$A24,'S7'!$E$6:$E$19,"Diego")+SUMIFS('S7'!$I$6:$I$19,'S7'!$B$6:$B$19,$A24,'S7'!$E$6:$E$19,"Ambos")+SUMIFS('S8'!$I$6:$I$23,'S8'!$B$6:$B$23,$A24,'S8'!$E$6:$E$23,"Diego")+SUMIFS('S8'!$I$6:$I$23,'S8'!$B$6:$B$23,$A24,'S8'!$E$6:$E$23,"Ambos")+SUMIFS('S9'!$I$6:$I$15,'S9'!$B$6:$B$15,$A24,'S9'!$E$6:$E$15,"Diego")+SUMIFS('S9'!$I$6:$I$15,'S9'!$B$6:$B$15,$A24,'S9'!$E$6:$E$15,"Ambos")+SUMIFS('S10'!$I$6:$I$13,'S10'!$B$6:$B$13,$A24,'S10'!$E$6:$E$13,"Diego")+SUMIFS('S10'!$I$6:$I$13,'S10'!$B$6:$B$13,$A24,'S10'!$E$6:$E$13,"Ambos")+SUMIFS('Holgura'!$I$6:$I$11,'Holgura'!$B$6:$B$11,$A24,'Holgura'!$E$6:$E$11,"Diego")+SUMIFS('Holgura'!$I$6:$I$11,'Holgura'!$B$6:$B$11,$A24,'Holgura'!$E$6:$E$11,"Ambos")+SUMIFS('Entrega'!$I$6:$I$9,'Entrega'!$B$6:$B$9,$A24,'Entrega'!$E$6:$E$9,"Diego")+SUMIFS('Entrega'!$I$6:$I$9,'Entrega'!$B$6:$B$9,$A24,'Entrega'!$E$6:$E$9,"Ambos")+SUMIFS('Defensa'!$I$6:$I$10,'Defensa'!$B$6:$B$10,$A24,'Defensa'!$E$6:$E$10,"Diego")+SUMIFS('Defensa'!$I$6:$I$10,'Defensa'!$B$6:$B$10,$A24,'Defensa'!$E$6:$E$10,"Ambos")</f>
        <v/>
      </c>
      <c r="F24" s="21">
        <f>COUNTIFS('S1'!$B$6:$B$32,$A24,'S1'!$E$6:$E$32,"Víctor")+COUNTIFS('S1'!$B$6:$B$32,$A24,'S1'!$E$6:$E$32,"Ambos")+COUNTIFS('S2'!$B$6:$B$23,$A24,'S2'!$E$6:$E$23,"Víctor")+COUNTIFS('S2'!$B$6:$B$23,$A24,'S2'!$E$6:$E$23,"Ambos")+COUNTIFS('S3'!$B$6:$B$24,$A24,'S3'!$E$6:$E$24,"Víctor")+COUNTIFS('S3'!$B$6:$B$24,$A24,'S3'!$E$6:$E$24,"Ambos")+COUNTIFS('S4'!$B$6:$B$22,$A24,'S4'!$E$6:$E$22,"Víctor")+COUNTIFS('S4'!$B$6:$B$22,$A24,'S4'!$E$6:$E$22,"Ambos")+COUNTIFS('S5'!$B$6:$B$20,$A24,'S5'!$E$6:$E$20,"Víctor")+COUNTIFS('S5'!$B$6:$B$20,$A24,'S5'!$E$6:$E$20,"Ambos")+COUNTIFS('S6'!$B$6:$B$17,$A24,'S6'!$E$6:$E$17,"Víctor")+COUNTIFS('S6'!$B$6:$B$17,$A24,'S6'!$E$6:$E$17,"Ambos")+COUNTIFS('S7'!$B$6:$B$19,$A24,'S7'!$E$6:$E$19,"Víctor")+COUNTIFS('S7'!$B$6:$B$19,$A24,'S7'!$E$6:$E$19,"Ambos")+COUNTIFS('S8'!$B$6:$B$23,$A24,'S8'!$E$6:$E$23,"Víctor")+COUNTIFS('S8'!$B$6:$B$23,$A24,'S8'!$E$6:$E$23,"Ambos")+COUNTIFS('S9'!$B$6:$B$15,$A24,'S9'!$E$6:$E$15,"Víctor")+COUNTIFS('S9'!$B$6:$B$15,$A24,'S9'!$E$6:$E$15,"Ambos")+COUNTIFS('S10'!$B$6:$B$13,$A24,'S10'!$E$6:$E$13,"Víctor")+COUNTIFS('S10'!$B$6:$B$13,$A24,'S10'!$E$6:$E$13,"Ambos")+COUNTIFS('Holgura'!$B$6:$B$11,$A24,'Holgura'!$E$6:$E$11,"Víctor")+COUNTIFS('Holgura'!$B$6:$B$11,$A24,'Holgura'!$E$6:$E$11,"Ambos")+COUNTIFS('Entrega'!$B$6:$B$9,$A24,'Entrega'!$E$6:$E$9,"Víctor")+COUNTIFS('Entrega'!$B$6:$B$9,$A24,'Entrega'!$E$6:$E$9,"Ambos")+COUNTIFS('Defensa'!$B$6:$B$10,$A24,'Defensa'!$E$6:$E$10,"Víctor")+COUNTIFS('Defensa'!$B$6:$B$10,$A24,'Defensa'!$E$6:$E$10,"Ambos")</f>
        <v/>
      </c>
      <c r="G24" s="21">
        <f>COUNTIFS('S1'!$B$6:$B$32,$A24,'S1'!$E$6:$E$32,"Diego")+COUNTIFS('S1'!$B$6:$B$32,$A24,'S1'!$E$6:$E$32,"Ambos")+COUNTIFS('S2'!$B$6:$B$23,$A24,'S2'!$E$6:$E$23,"Diego")+COUNTIFS('S2'!$B$6:$B$23,$A24,'S2'!$E$6:$E$23,"Ambos")+COUNTIFS('S3'!$B$6:$B$24,$A24,'S3'!$E$6:$E$24,"Diego")+COUNTIFS('S3'!$B$6:$B$24,$A24,'S3'!$E$6:$E$24,"Ambos")+COUNTIFS('S4'!$B$6:$B$22,$A24,'S4'!$E$6:$E$22,"Diego")+COUNTIFS('S4'!$B$6:$B$22,$A24,'S4'!$E$6:$E$22,"Ambos")+COUNTIFS('S5'!$B$6:$B$20,$A24,'S5'!$E$6:$E$20,"Diego")+COUNTIFS('S5'!$B$6:$B$20,$A24,'S5'!$E$6:$E$20,"Ambos")+COUNTIFS('S6'!$B$6:$B$17,$A24,'S6'!$E$6:$E$17,"Diego")+COUNTIFS('S6'!$B$6:$B$17,$A24,'S6'!$E$6:$E$17,"Ambos")+COUNTIFS('S7'!$B$6:$B$19,$A24,'S7'!$E$6:$E$19,"Diego")+COUNTIFS('S7'!$B$6:$B$19,$A24,'S7'!$E$6:$E$19,"Ambos")+COUNTIFS('S8'!$B$6:$B$23,$A24,'S8'!$E$6:$E$23,"Diego")+COUNTIFS('S8'!$B$6:$B$23,$A24,'S8'!$E$6:$E$23,"Ambos")+COUNTIFS('S9'!$B$6:$B$15,$A24,'S9'!$E$6:$E$15,"Diego")+COUNTIFS('S9'!$B$6:$B$15,$A24,'S9'!$E$6:$E$15,"Ambos")+COUNTIFS('S10'!$B$6:$B$13,$A24,'S10'!$E$6:$E$13,"Diego")+COUNTIFS('S10'!$B$6:$B$13,$A24,'S10'!$E$6:$E$13,"Ambos")+COUNTIFS('Holgura'!$B$6:$B$11,$A24,'Holgura'!$E$6:$E$11,"Diego")+COUNTIFS('Holgura'!$B$6:$B$11,$A24,'Holgura'!$E$6:$E$11,"Ambos")+COUNTIFS('Entrega'!$B$6:$B$9,$A24,'Entrega'!$E$6:$E$9,"Diego")+COUNTIFS('Entrega'!$B$6:$B$9,$A24,'Entrega'!$E$6:$E$9,"Ambos")+COUNTIFS('Defensa'!$B$6:$B$10,$A24,'Defensa'!$E$6:$E$10,"Diego")+COUNTIFS('Defensa'!$B$6:$B$10,$A24,'Defensa'!$E$6:$E$10,"Ambos")</f>
        <v/>
      </c>
    </row>
    <row r="25">
      <c r="A25" s="25" t="n">
        <v>46327</v>
      </c>
      <c r="B25" s="26">
        <f>A25</f>
        <v/>
      </c>
      <c r="C25" s="21">
        <f>IF(WEEKDAY(A25,2)&gt;5,4,2)</f>
        <v/>
      </c>
      <c r="D25" s="21">
        <f>SUMIFS('S1'!$I$6:$I$32,'S1'!$B$6:$B$32,$A25,'S1'!$E$6:$E$32,"Víctor")+SUMIFS('S1'!$I$6:$I$32,'S1'!$B$6:$B$32,$A25,'S1'!$E$6:$E$32,"Ambos")+SUMIFS('S2'!$I$6:$I$23,'S2'!$B$6:$B$23,$A25,'S2'!$E$6:$E$23,"Víctor")+SUMIFS('S2'!$I$6:$I$23,'S2'!$B$6:$B$23,$A25,'S2'!$E$6:$E$23,"Ambos")+SUMIFS('S3'!$I$6:$I$24,'S3'!$B$6:$B$24,$A25,'S3'!$E$6:$E$24,"Víctor")+SUMIFS('S3'!$I$6:$I$24,'S3'!$B$6:$B$24,$A25,'S3'!$E$6:$E$24,"Ambos")+SUMIFS('S4'!$I$6:$I$22,'S4'!$B$6:$B$22,$A25,'S4'!$E$6:$E$22,"Víctor")+SUMIFS('S4'!$I$6:$I$22,'S4'!$B$6:$B$22,$A25,'S4'!$E$6:$E$22,"Ambos")+SUMIFS('S5'!$I$6:$I$20,'S5'!$B$6:$B$20,$A25,'S5'!$E$6:$E$20,"Víctor")+SUMIFS('S5'!$I$6:$I$20,'S5'!$B$6:$B$20,$A25,'S5'!$E$6:$E$20,"Ambos")+SUMIFS('S6'!$I$6:$I$17,'S6'!$B$6:$B$17,$A25,'S6'!$E$6:$E$17,"Víctor")+SUMIFS('S6'!$I$6:$I$17,'S6'!$B$6:$B$17,$A25,'S6'!$E$6:$E$17,"Ambos")+SUMIFS('S7'!$I$6:$I$19,'S7'!$B$6:$B$19,$A25,'S7'!$E$6:$E$19,"Víctor")+SUMIFS('S7'!$I$6:$I$19,'S7'!$B$6:$B$19,$A25,'S7'!$E$6:$E$19,"Ambos")+SUMIFS('S8'!$I$6:$I$23,'S8'!$B$6:$B$23,$A25,'S8'!$E$6:$E$23,"Víctor")+SUMIFS('S8'!$I$6:$I$23,'S8'!$B$6:$B$23,$A25,'S8'!$E$6:$E$23,"Ambos")+SUMIFS('S9'!$I$6:$I$15,'S9'!$B$6:$B$15,$A25,'S9'!$E$6:$E$15,"Víctor")+SUMIFS('S9'!$I$6:$I$15,'S9'!$B$6:$B$15,$A25,'S9'!$E$6:$E$15,"Ambos")+SUMIFS('S10'!$I$6:$I$13,'S10'!$B$6:$B$13,$A25,'S10'!$E$6:$E$13,"Víctor")+SUMIFS('S10'!$I$6:$I$13,'S10'!$B$6:$B$13,$A25,'S10'!$E$6:$E$13,"Ambos")+SUMIFS('Holgura'!$I$6:$I$11,'Holgura'!$B$6:$B$11,$A25,'Holgura'!$E$6:$E$11,"Víctor")+SUMIFS('Holgura'!$I$6:$I$11,'Holgura'!$B$6:$B$11,$A25,'Holgura'!$E$6:$E$11,"Ambos")+SUMIFS('Entrega'!$I$6:$I$9,'Entrega'!$B$6:$B$9,$A25,'Entrega'!$E$6:$E$9,"Víctor")+SUMIFS('Entrega'!$I$6:$I$9,'Entrega'!$B$6:$B$9,$A25,'Entrega'!$E$6:$E$9,"Ambos")+SUMIFS('Defensa'!$I$6:$I$10,'Defensa'!$B$6:$B$10,$A25,'Defensa'!$E$6:$E$10,"Víctor")+SUMIFS('Defensa'!$I$6:$I$10,'Defensa'!$B$6:$B$10,$A25,'Defensa'!$E$6:$E$10,"Ambos")</f>
        <v/>
      </c>
      <c r="E25" s="21">
        <f>SUMIFS('S1'!$I$6:$I$32,'S1'!$B$6:$B$32,$A25,'S1'!$E$6:$E$32,"Diego")+SUMIFS('S1'!$I$6:$I$32,'S1'!$B$6:$B$32,$A25,'S1'!$E$6:$E$32,"Ambos")+SUMIFS('S2'!$I$6:$I$23,'S2'!$B$6:$B$23,$A25,'S2'!$E$6:$E$23,"Diego")+SUMIFS('S2'!$I$6:$I$23,'S2'!$B$6:$B$23,$A25,'S2'!$E$6:$E$23,"Ambos")+SUMIFS('S3'!$I$6:$I$24,'S3'!$B$6:$B$24,$A25,'S3'!$E$6:$E$24,"Diego")+SUMIFS('S3'!$I$6:$I$24,'S3'!$B$6:$B$24,$A25,'S3'!$E$6:$E$24,"Ambos")+SUMIFS('S4'!$I$6:$I$22,'S4'!$B$6:$B$22,$A25,'S4'!$E$6:$E$22,"Diego")+SUMIFS('S4'!$I$6:$I$22,'S4'!$B$6:$B$22,$A25,'S4'!$E$6:$E$22,"Ambos")+SUMIFS('S5'!$I$6:$I$20,'S5'!$B$6:$B$20,$A25,'S5'!$E$6:$E$20,"Diego")+SUMIFS('S5'!$I$6:$I$20,'S5'!$B$6:$B$20,$A25,'S5'!$E$6:$E$20,"Ambos")+SUMIFS('S6'!$I$6:$I$17,'S6'!$B$6:$B$17,$A25,'S6'!$E$6:$E$17,"Diego")+SUMIFS('S6'!$I$6:$I$17,'S6'!$B$6:$B$17,$A25,'S6'!$E$6:$E$17,"Ambos")+SUMIFS('S7'!$I$6:$I$19,'S7'!$B$6:$B$19,$A25,'S7'!$E$6:$E$19,"Diego")+SUMIFS('S7'!$I$6:$I$19,'S7'!$B$6:$B$19,$A25,'S7'!$E$6:$E$19,"Ambos")+SUMIFS('S8'!$I$6:$I$23,'S8'!$B$6:$B$23,$A25,'S8'!$E$6:$E$23,"Diego")+SUMIFS('S8'!$I$6:$I$23,'S8'!$B$6:$B$23,$A25,'S8'!$E$6:$E$23,"Ambos")+SUMIFS('S9'!$I$6:$I$15,'S9'!$B$6:$B$15,$A25,'S9'!$E$6:$E$15,"Diego")+SUMIFS('S9'!$I$6:$I$15,'S9'!$B$6:$B$15,$A25,'S9'!$E$6:$E$15,"Ambos")+SUMIFS('S10'!$I$6:$I$13,'S10'!$B$6:$B$13,$A25,'S10'!$E$6:$E$13,"Diego")+SUMIFS('S10'!$I$6:$I$13,'S10'!$B$6:$B$13,$A25,'S10'!$E$6:$E$13,"Ambos")+SUMIFS('Holgura'!$I$6:$I$11,'Holgura'!$B$6:$B$11,$A25,'Holgura'!$E$6:$E$11,"Diego")+SUMIFS('Holgura'!$I$6:$I$11,'Holgura'!$B$6:$B$11,$A25,'Holgura'!$E$6:$E$11,"Ambos")+SUMIFS('Entrega'!$I$6:$I$9,'Entrega'!$B$6:$B$9,$A25,'Entrega'!$E$6:$E$9,"Diego")+SUMIFS('Entrega'!$I$6:$I$9,'Entrega'!$B$6:$B$9,$A25,'Entrega'!$E$6:$E$9,"Ambos")+SUMIFS('Defensa'!$I$6:$I$10,'Defensa'!$B$6:$B$10,$A25,'Defensa'!$E$6:$E$10,"Diego")+SUMIFS('Defensa'!$I$6:$I$10,'Defensa'!$B$6:$B$10,$A25,'Defensa'!$E$6:$E$10,"Ambos")</f>
        <v/>
      </c>
      <c r="F25" s="21">
        <f>COUNTIFS('S1'!$B$6:$B$32,$A25,'S1'!$E$6:$E$32,"Víctor")+COUNTIFS('S1'!$B$6:$B$32,$A25,'S1'!$E$6:$E$32,"Ambos")+COUNTIFS('S2'!$B$6:$B$23,$A25,'S2'!$E$6:$E$23,"Víctor")+COUNTIFS('S2'!$B$6:$B$23,$A25,'S2'!$E$6:$E$23,"Ambos")+COUNTIFS('S3'!$B$6:$B$24,$A25,'S3'!$E$6:$E$24,"Víctor")+COUNTIFS('S3'!$B$6:$B$24,$A25,'S3'!$E$6:$E$24,"Ambos")+COUNTIFS('S4'!$B$6:$B$22,$A25,'S4'!$E$6:$E$22,"Víctor")+COUNTIFS('S4'!$B$6:$B$22,$A25,'S4'!$E$6:$E$22,"Ambos")+COUNTIFS('S5'!$B$6:$B$20,$A25,'S5'!$E$6:$E$20,"Víctor")+COUNTIFS('S5'!$B$6:$B$20,$A25,'S5'!$E$6:$E$20,"Ambos")+COUNTIFS('S6'!$B$6:$B$17,$A25,'S6'!$E$6:$E$17,"Víctor")+COUNTIFS('S6'!$B$6:$B$17,$A25,'S6'!$E$6:$E$17,"Ambos")+COUNTIFS('S7'!$B$6:$B$19,$A25,'S7'!$E$6:$E$19,"Víctor")+COUNTIFS('S7'!$B$6:$B$19,$A25,'S7'!$E$6:$E$19,"Ambos")+COUNTIFS('S8'!$B$6:$B$23,$A25,'S8'!$E$6:$E$23,"Víctor")+COUNTIFS('S8'!$B$6:$B$23,$A25,'S8'!$E$6:$E$23,"Ambos")+COUNTIFS('S9'!$B$6:$B$15,$A25,'S9'!$E$6:$E$15,"Víctor")+COUNTIFS('S9'!$B$6:$B$15,$A25,'S9'!$E$6:$E$15,"Ambos")+COUNTIFS('S10'!$B$6:$B$13,$A25,'S10'!$E$6:$E$13,"Víctor")+COUNTIFS('S10'!$B$6:$B$13,$A25,'S10'!$E$6:$E$13,"Ambos")+COUNTIFS('Holgura'!$B$6:$B$11,$A25,'Holgura'!$E$6:$E$11,"Víctor")+COUNTIFS('Holgura'!$B$6:$B$11,$A25,'Holgura'!$E$6:$E$11,"Ambos")+COUNTIFS('Entrega'!$B$6:$B$9,$A25,'Entrega'!$E$6:$E$9,"Víctor")+COUNTIFS('Entrega'!$B$6:$B$9,$A25,'Entrega'!$E$6:$E$9,"Ambos")+COUNTIFS('Defensa'!$B$6:$B$10,$A25,'Defensa'!$E$6:$E$10,"Víctor")+COUNTIFS('Defensa'!$B$6:$B$10,$A25,'Defensa'!$E$6:$E$10,"Ambos")</f>
        <v/>
      </c>
      <c r="G25" s="21">
        <f>COUNTIFS('S1'!$B$6:$B$32,$A25,'S1'!$E$6:$E$32,"Diego")+COUNTIFS('S1'!$B$6:$B$32,$A25,'S1'!$E$6:$E$32,"Ambos")+COUNTIFS('S2'!$B$6:$B$23,$A25,'S2'!$E$6:$E$23,"Diego")+COUNTIFS('S2'!$B$6:$B$23,$A25,'S2'!$E$6:$E$23,"Ambos")+COUNTIFS('S3'!$B$6:$B$24,$A25,'S3'!$E$6:$E$24,"Diego")+COUNTIFS('S3'!$B$6:$B$24,$A25,'S3'!$E$6:$E$24,"Ambos")+COUNTIFS('S4'!$B$6:$B$22,$A25,'S4'!$E$6:$E$22,"Diego")+COUNTIFS('S4'!$B$6:$B$22,$A25,'S4'!$E$6:$E$22,"Ambos")+COUNTIFS('S5'!$B$6:$B$20,$A25,'S5'!$E$6:$E$20,"Diego")+COUNTIFS('S5'!$B$6:$B$20,$A25,'S5'!$E$6:$E$20,"Ambos")+COUNTIFS('S6'!$B$6:$B$17,$A25,'S6'!$E$6:$E$17,"Diego")+COUNTIFS('S6'!$B$6:$B$17,$A25,'S6'!$E$6:$E$17,"Ambos")+COUNTIFS('S7'!$B$6:$B$19,$A25,'S7'!$E$6:$E$19,"Diego")+COUNTIFS('S7'!$B$6:$B$19,$A25,'S7'!$E$6:$E$19,"Ambos")+COUNTIFS('S8'!$B$6:$B$23,$A25,'S8'!$E$6:$E$23,"Diego")+COUNTIFS('S8'!$B$6:$B$23,$A25,'S8'!$E$6:$E$23,"Ambos")+COUNTIFS('S9'!$B$6:$B$15,$A25,'S9'!$E$6:$E$15,"Diego")+COUNTIFS('S9'!$B$6:$B$15,$A25,'S9'!$E$6:$E$15,"Ambos")+COUNTIFS('S10'!$B$6:$B$13,$A25,'S10'!$E$6:$E$13,"Diego")+COUNTIFS('S10'!$B$6:$B$13,$A25,'S10'!$E$6:$E$13,"Ambos")+COUNTIFS('Holgura'!$B$6:$B$11,$A25,'Holgura'!$E$6:$E$11,"Diego")+COUNTIFS('Holgura'!$B$6:$B$11,$A25,'Holgura'!$E$6:$E$11,"Ambos")+COUNTIFS('Entrega'!$B$6:$B$9,$A25,'Entrega'!$E$6:$E$9,"Diego")+COUNTIFS('Entrega'!$B$6:$B$9,$A25,'Entrega'!$E$6:$E$9,"Ambos")+COUNTIFS('Defensa'!$B$6:$B$10,$A25,'Defensa'!$E$6:$E$10,"Diego")+COUNTIFS('Defensa'!$B$6:$B$10,$A25,'Defensa'!$E$6:$E$10,"Ambos")</f>
        <v/>
      </c>
    </row>
    <row r="26">
      <c r="A26" s="25" t="n">
        <v>46328</v>
      </c>
      <c r="B26" s="26">
        <f>A26</f>
        <v/>
      </c>
      <c r="C26" s="21">
        <f>IF(WEEKDAY(A26,2)&gt;5,4,2)</f>
        <v/>
      </c>
      <c r="D26" s="21">
        <f>SUMIFS('S1'!$I$6:$I$32,'S1'!$B$6:$B$32,$A26,'S1'!$E$6:$E$32,"Víctor")+SUMIFS('S1'!$I$6:$I$32,'S1'!$B$6:$B$32,$A26,'S1'!$E$6:$E$32,"Ambos")+SUMIFS('S2'!$I$6:$I$23,'S2'!$B$6:$B$23,$A26,'S2'!$E$6:$E$23,"Víctor")+SUMIFS('S2'!$I$6:$I$23,'S2'!$B$6:$B$23,$A26,'S2'!$E$6:$E$23,"Ambos")+SUMIFS('S3'!$I$6:$I$24,'S3'!$B$6:$B$24,$A26,'S3'!$E$6:$E$24,"Víctor")+SUMIFS('S3'!$I$6:$I$24,'S3'!$B$6:$B$24,$A26,'S3'!$E$6:$E$24,"Ambos")+SUMIFS('S4'!$I$6:$I$22,'S4'!$B$6:$B$22,$A26,'S4'!$E$6:$E$22,"Víctor")+SUMIFS('S4'!$I$6:$I$22,'S4'!$B$6:$B$22,$A26,'S4'!$E$6:$E$22,"Ambos")+SUMIFS('S5'!$I$6:$I$20,'S5'!$B$6:$B$20,$A26,'S5'!$E$6:$E$20,"Víctor")+SUMIFS('S5'!$I$6:$I$20,'S5'!$B$6:$B$20,$A26,'S5'!$E$6:$E$20,"Ambos")+SUMIFS('S6'!$I$6:$I$17,'S6'!$B$6:$B$17,$A26,'S6'!$E$6:$E$17,"Víctor")+SUMIFS('S6'!$I$6:$I$17,'S6'!$B$6:$B$17,$A26,'S6'!$E$6:$E$17,"Ambos")+SUMIFS('S7'!$I$6:$I$19,'S7'!$B$6:$B$19,$A26,'S7'!$E$6:$E$19,"Víctor")+SUMIFS('S7'!$I$6:$I$19,'S7'!$B$6:$B$19,$A26,'S7'!$E$6:$E$19,"Ambos")+SUMIFS('S8'!$I$6:$I$23,'S8'!$B$6:$B$23,$A26,'S8'!$E$6:$E$23,"Víctor")+SUMIFS('S8'!$I$6:$I$23,'S8'!$B$6:$B$23,$A26,'S8'!$E$6:$E$23,"Ambos")+SUMIFS('S9'!$I$6:$I$15,'S9'!$B$6:$B$15,$A26,'S9'!$E$6:$E$15,"Víctor")+SUMIFS('S9'!$I$6:$I$15,'S9'!$B$6:$B$15,$A26,'S9'!$E$6:$E$15,"Ambos")+SUMIFS('S10'!$I$6:$I$13,'S10'!$B$6:$B$13,$A26,'S10'!$E$6:$E$13,"Víctor")+SUMIFS('S10'!$I$6:$I$13,'S10'!$B$6:$B$13,$A26,'S10'!$E$6:$E$13,"Ambos")+SUMIFS('Holgura'!$I$6:$I$11,'Holgura'!$B$6:$B$11,$A26,'Holgura'!$E$6:$E$11,"Víctor")+SUMIFS('Holgura'!$I$6:$I$11,'Holgura'!$B$6:$B$11,$A26,'Holgura'!$E$6:$E$11,"Ambos")+SUMIFS('Entrega'!$I$6:$I$9,'Entrega'!$B$6:$B$9,$A26,'Entrega'!$E$6:$E$9,"Víctor")+SUMIFS('Entrega'!$I$6:$I$9,'Entrega'!$B$6:$B$9,$A26,'Entrega'!$E$6:$E$9,"Ambos")+SUMIFS('Defensa'!$I$6:$I$10,'Defensa'!$B$6:$B$10,$A26,'Defensa'!$E$6:$E$10,"Víctor")+SUMIFS('Defensa'!$I$6:$I$10,'Defensa'!$B$6:$B$10,$A26,'Defensa'!$E$6:$E$10,"Ambos")</f>
        <v/>
      </c>
      <c r="E26" s="21">
        <f>SUMIFS('S1'!$I$6:$I$32,'S1'!$B$6:$B$32,$A26,'S1'!$E$6:$E$32,"Diego")+SUMIFS('S1'!$I$6:$I$32,'S1'!$B$6:$B$32,$A26,'S1'!$E$6:$E$32,"Ambos")+SUMIFS('S2'!$I$6:$I$23,'S2'!$B$6:$B$23,$A26,'S2'!$E$6:$E$23,"Diego")+SUMIFS('S2'!$I$6:$I$23,'S2'!$B$6:$B$23,$A26,'S2'!$E$6:$E$23,"Ambos")+SUMIFS('S3'!$I$6:$I$24,'S3'!$B$6:$B$24,$A26,'S3'!$E$6:$E$24,"Diego")+SUMIFS('S3'!$I$6:$I$24,'S3'!$B$6:$B$24,$A26,'S3'!$E$6:$E$24,"Ambos")+SUMIFS('S4'!$I$6:$I$22,'S4'!$B$6:$B$22,$A26,'S4'!$E$6:$E$22,"Diego")+SUMIFS('S4'!$I$6:$I$22,'S4'!$B$6:$B$22,$A26,'S4'!$E$6:$E$22,"Ambos")+SUMIFS('S5'!$I$6:$I$20,'S5'!$B$6:$B$20,$A26,'S5'!$E$6:$E$20,"Diego")+SUMIFS('S5'!$I$6:$I$20,'S5'!$B$6:$B$20,$A26,'S5'!$E$6:$E$20,"Ambos")+SUMIFS('S6'!$I$6:$I$17,'S6'!$B$6:$B$17,$A26,'S6'!$E$6:$E$17,"Diego")+SUMIFS('S6'!$I$6:$I$17,'S6'!$B$6:$B$17,$A26,'S6'!$E$6:$E$17,"Ambos")+SUMIFS('S7'!$I$6:$I$19,'S7'!$B$6:$B$19,$A26,'S7'!$E$6:$E$19,"Diego")+SUMIFS('S7'!$I$6:$I$19,'S7'!$B$6:$B$19,$A26,'S7'!$E$6:$E$19,"Ambos")+SUMIFS('S8'!$I$6:$I$23,'S8'!$B$6:$B$23,$A26,'S8'!$E$6:$E$23,"Diego")+SUMIFS('S8'!$I$6:$I$23,'S8'!$B$6:$B$23,$A26,'S8'!$E$6:$E$23,"Ambos")+SUMIFS('S9'!$I$6:$I$15,'S9'!$B$6:$B$15,$A26,'S9'!$E$6:$E$15,"Diego")+SUMIFS('S9'!$I$6:$I$15,'S9'!$B$6:$B$15,$A26,'S9'!$E$6:$E$15,"Ambos")+SUMIFS('S10'!$I$6:$I$13,'S10'!$B$6:$B$13,$A26,'S10'!$E$6:$E$13,"Diego")+SUMIFS('S10'!$I$6:$I$13,'S10'!$B$6:$B$13,$A26,'S10'!$E$6:$E$13,"Ambos")+SUMIFS('Holgura'!$I$6:$I$11,'Holgura'!$B$6:$B$11,$A26,'Holgura'!$E$6:$E$11,"Diego")+SUMIFS('Holgura'!$I$6:$I$11,'Holgura'!$B$6:$B$11,$A26,'Holgura'!$E$6:$E$11,"Ambos")+SUMIFS('Entrega'!$I$6:$I$9,'Entrega'!$B$6:$B$9,$A26,'Entrega'!$E$6:$E$9,"Diego")+SUMIFS('Entrega'!$I$6:$I$9,'Entrega'!$B$6:$B$9,$A26,'Entrega'!$E$6:$E$9,"Ambos")+SUMIFS('Defensa'!$I$6:$I$10,'Defensa'!$B$6:$B$10,$A26,'Defensa'!$E$6:$E$10,"Diego")+SUMIFS('Defensa'!$I$6:$I$10,'Defensa'!$B$6:$B$10,$A26,'Defensa'!$E$6:$E$10,"Ambos")</f>
        <v/>
      </c>
      <c r="F26" s="21">
        <f>COUNTIFS('S1'!$B$6:$B$32,$A26,'S1'!$E$6:$E$32,"Víctor")+COUNTIFS('S1'!$B$6:$B$32,$A26,'S1'!$E$6:$E$32,"Ambos")+COUNTIFS('S2'!$B$6:$B$23,$A26,'S2'!$E$6:$E$23,"Víctor")+COUNTIFS('S2'!$B$6:$B$23,$A26,'S2'!$E$6:$E$23,"Ambos")+COUNTIFS('S3'!$B$6:$B$24,$A26,'S3'!$E$6:$E$24,"Víctor")+COUNTIFS('S3'!$B$6:$B$24,$A26,'S3'!$E$6:$E$24,"Ambos")+COUNTIFS('S4'!$B$6:$B$22,$A26,'S4'!$E$6:$E$22,"Víctor")+COUNTIFS('S4'!$B$6:$B$22,$A26,'S4'!$E$6:$E$22,"Ambos")+COUNTIFS('S5'!$B$6:$B$20,$A26,'S5'!$E$6:$E$20,"Víctor")+COUNTIFS('S5'!$B$6:$B$20,$A26,'S5'!$E$6:$E$20,"Ambos")+COUNTIFS('S6'!$B$6:$B$17,$A26,'S6'!$E$6:$E$17,"Víctor")+COUNTIFS('S6'!$B$6:$B$17,$A26,'S6'!$E$6:$E$17,"Ambos")+COUNTIFS('S7'!$B$6:$B$19,$A26,'S7'!$E$6:$E$19,"Víctor")+COUNTIFS('S7'!$B$6:$B$19,$A26,'S7'!$E$6:$E$19,"Ambos")+COUNTIFS('S8'!$B$6:$B$23,$A26,'S8'!$E$6:$E$23,"Víctor")+COUNTIFS('S8'!$B$6:$B$23,$A26,'S8'!$E$6:$E$23,"Ambos")+COUNTIFS('S9'!$B$6:$B$15,$A26,'S9'!$E$6:$E$15,"Víctor")+COUNTIFS('S9'!$B$6:$B$15,$A26,'S9'!$E$6:$E$15,"Ambos")+COUNTIFS('S10'!$B$6:$B$13,$A26,'S10'!$E$6:$E$13,"Víctor")+COUNTIFS('S10'!$B$6:$B$13,$A26,'S10'!$E$6:$E$13,"Ambos")+COUNTIFS('Holgura'!$B$6:$B$11,$A26,'Holgura'!$E$6:$E$11,"Víctor")+COUNTIFS('Holgura'!$B$6:$B$11,$A26,'Holgura'!$E$6:$E$11,"Ambos")+COUNTIFS('Entrega'!$B$6:$B$9,$A26,'Entrega'!$E$6:$E$9,"Víctor")+COUNTIFS('Entrega'!$B$6:$B$9,$A26,'Entrega'!$E$6:$E$9,"Ambos")+COUNTIFS('Defensa'!$B$6:$B$10,$A26,'Defensa'!$E$6:$E$10,"Víctor")+COUNTIFS('Defensa'!$B$6:$B$10,$A26,'Defensa'!$E$6:$E$10,"Ambos")</f>
        <v/>
      </c>
      <c r="G26" s="21">
        <f>COUNTIFS('S1'!$B$6:$B$32,$A26,'S1'!$E$6:$E$32,"Diego")+COUNTIFS('S1'!$B$6:$B$32,$A26,'S1'!$E$6:$E$32,"Ambos")+COUNTIFS('S2'!$B$6:$B$23,$A26,'S2'!$E$6:$E$23,"Diego")+COUNTIFS('S2'!$B$6:$B$23,$A26,'S2'!$E$6:$E$23,"Ambos")+COUNTIFS('S3'!$B$6:$B$24,$A26,'S3'!$E$6:$E$24,"Diego")+COUNTIFS('S3'!$B$6:$B$24,$A26,'S3'!$E$6:$E$24,"Ambos")+COUNTIFS('S4'!$B$6:$B$22,$A26,'S4'!$E$6:$E$22,"Diego")+COUNTIFS('S4'!$B$6:$B$22,$A26,'S4'!$E$6:$E$22,"Ambos")+COUNTIFS('S5'!$B$6:$B$20,$A26,'S5'!$E$6:$E$20,"Diego")+COUNTIFS('S5'!$B$6:$B$20,$A26,'S5'!$E$6:$E$20,"Ambos")+COUNTIFS('S6'!$B$6:$B$17,$A26,'S6'!$E$6:$E$17,"Diego")+COUNTIFS('S6'!$B$6:$B$17,$A26,'S6'!$E$6:$E$17,"Ambos")+COUNTIFS('S7'!$B$6:$B$19,$A26,'S7'!$E$6:$E$19,"Diego")+COUNTIFS('S7'!$B$6:$B$19,$A26,'S7'!$E$6:$E$19,"Ambos")+COUNTIFS('S8'!$B$6:$B$23,$A26,'S8'!$E$6:$E$23,"Diego")+COUNTIFS('S8'!$B$6:$B$23,$A26,'S8'!$E$6:$E$23,"Ambos")+COUNTIFS('S9'!$B$6:$B$15,$A26,'S9'!$E$6:$E$15,"Diego")+COUNTIFS('S9'!$B$6:$B$15,$A26,'S9'!$E$6:$E$15,"Ambos")+COUNTIFS('S10'!$B$6:$B$13,$A26,'S10'!$E$6:$E$13,"Diego")+COUNTIFS('S10'!$B$6:$B$13,$A26,'S10'!$E$6:$E$13,"Ambos")+COUNTIFS('Holgura'!$B$6:$B$11,$A26,'Holgura'!$E$6:$E$11,"Diego")+COUNTIFS('Holgura'!$B$6:$B$11,$A26,'Holgura'!$E$6:$E$11,"Ambos")+COUNTIFS('Entrega'!$B$6:$B$9,$A26,'Entrega'!$E$6:$E$9,"Diego")+COUNTIFS('Entrega'!$B$6:$B$9,$A26,'Entrega'!$E$6:$E$9,"Ambos")+COUNTIFS('Defensa'!$B$6:$B$10,$A26,'Defensa'!$E$6:$E$10,"Diego")+COUNTIFS('Defensa'!$B$6:$B$10,$A26,'Defensa'!$E$6:$E$10,"Ambos")</f>
        <v/>
      </c>
    </row>
    <row r="27">
      <c r="A27" s="25" t="n">
        <v>46329</v>
      </c>
      <c r="B27" s="26">
        <f>A27</f>
        <v/>
      </c>
      <c r="C27" s="21">
        <f>IF(WEEKDAY(A27,2)&gt;5,4,2)</f>
        <v/>
      </c>
      <c r="D27" s="21">
        <f>SUMIFS('S1'!$I$6:$I$32,'S1'!$B$6:$B$32,$A27,'S1'!$E$6:$E$32,"Víctor")+SUMIFS('S1'!$I$6:$I$32,'S1'!$B$6:$B$32,$A27,'S1'!$E$6:$E$32,"Ambos")+SUMIFS('S2'!$I$6:$I$23,'S2'!$B$6:$B$23,$A27,'S2'!$E$6:$E$23,"Víctor")+SUMIFS('S2'!$I$6:$I$23,'S2'!$B$6:$B$23,$A27,'S2'!$E$6:$E$23,"Ambos")+SUMIFS('S3'!$I$6:$I$24,'S3'!$B$6:$B$24,$A27,'S3'!$E$6:$E$24,"Víctor")+SUMIFS('S3'!$I$6:$I$24,'S3'!$B$6:$B$24,$A27,'S3'!$E$6:$E$24,"Ambos")+SUMIFS('S4'!$I$6:$I$22,'S4'!$B$6:$B$22,$A27,'S4'!$E$6:$E$22,"Víctor")+SUMIFS('S4'!$I$6:$I$22,'S4'!$B$6:$B$22,$A27,'S4'!$E$6:$E$22,"Ambos")+SUMIFS('S5'!$I$6:$I$20,'S5'!$B$6:$B$20,$A27,'S5'!$E$6:$E$20,"Víctor")+SUMIFS('S5'!$I$6:$I$20,'S5'!$B$6:$B$20,$A27,'S5'!$E$6:$E$20,"Ambos")+SUMIFS('S6'!$I$6:$I$17,'S6'!$B$6:$B$17,$A27,'S6'!$E$6:$E$17,"Víctor")+SUMIFS('S6'!$I$6:$I$17,'S6'!$B$6:$B$17,$A27,'S6'!$E$6:$E$17,"Ambos")+SUMIFS('S7'!$I$6:$I$19,'S7'!$B$6:$B$19,$A27,'S7'!$E$6:$E$19,"Víctor")+SUMIFS('S7'!$I$6:$I$19,'S7'!$B$6:$B$19,$A27,'S7'!$E$6:$E$19,"Ambos")+SUMIFS('S8'!$I$6:$I$23,'S8'!$B$6:$B$23,$A27,'S8'!$E$6:$E$23,"Víctor")+SUMIFS('S8'!$I$6:$I$23,'S8'!$B$6:$B$23,$A27,'S8'!$E$6:$E$23,"Ambos")+SUMIFS('S9'!$I$6:$I$15,'S9'!$B$6:$B$15,$A27,'S9'!$E$6:$E$15,"Víctor")+SUMIFS('S9'!$I$6:$I$15,'S9'!$B$6:$B$15,$A27,'S9'!$E$6:$E$15,"Ambos")+SUMIFS('S10'!$I$6:$I$13,'S10'!$B$6:$B$13,$A27,'S10'!$E$6:$E$13,"Víctor")+SUMIFS('S10'!$I$6:$I$13,'S10'!$B$6:$B$13,$A27,'S10'!$E$6:$E$13,"Ambos")+SUMIFS('Holgura'!$I$6:$I$11,'Holgura'!$B$6:$B$11,$A27,'Holgura'!$E$6:$E$11,"Víctor")+SUMIFS('Holgura'!$I$6:$I$11,'Holgura'!$B$6:$B$11,$A27,'Holgura'!$E$6:$E$11,"Ambos")+SUMIFS('Entrega'!$I$6:$I$9,'Entrega'!$B$6:$B$9,$A27,'Entrega'!$E$6:$E$9,"Víctor")+SUMIFS('Entrega'!$I$6:$I$9,'Entrega'!$B$6:$B$9,$A27,'Entrega'!$E$6:$E$9,"Ambos")+SUMIFS('Defensa'!$I$6:$I$10,'Defensa'!$B$6:$B$10,$A27,'Defensa'!$E$6:$E$10,"Víctor")+SUMIFS('Defensa'!$I$6:$I$10,'Defensa'!$B$6:$B$10,$A27,'Defensa'!$E$6:$E$10,"Ambos")</f>
        <v/>
      </c>
      <c r="E27" s="21">
        <f>SUMIFS('S1'!$I$6:$I$32,'S1'!$B$6:$B$32,$A27,'S1'!$E$6:$E$32,"Diego")+SUMIFS('S1'!$I$6:$I$32,'S1'!$B$6:$B$32,$A27,'S1'!$E$6:$E$32,"Ambos")+SUMIFS('S2'!$I$6:$I$23,'S2'!$B$6:$B$23,$A27,'S2'!$E$6:$E$23,"Diego")+SUMIFS('S2'!$I$6:$I$23,'S2'!$B$6:$B$23,$A27,'S2'!$E$6:$E$23,"Ambos")+SUMIFS('S3'!$I$6:$I$24,'S3'!$B$6:$B$24,$A27,'S3'!$E$6:$E$24,"Diego")+SUMIFS('S3'!$I$6:$I$24,'S3'!$B$6:$B$24,$A27,'S3'!$E$6:$E$24,"Ambos")+SUMIFS('S4'!$I$6:$I$22,'S4'!$B$6:$B$22,$A27,'S4'!$E$6:$E$22,"Diego")+SUMIFS('S4'!$I$6:$I$22,'S4'!$B$6:$B$22,$A27,'S4'!$E$6:$E$22,"Ambos")+SUMIFS('S5'!$I$6:$I$20,'S5'!$B$6:$B$20,$A27,'S5'!$E$6:$E$20,"Diego")+SUMIFS('S5'!$I$6:$I$20,'S5'!$B$6:$B$20,$A27,'S5'!$E$6:$E$20,"Ambos")+SUMIFS('S6'!$I$6:$I$17,'S6'!$B$6:$B$17,$A27,'S6'!$E$6:$E$17,"Diego")+SUMIFS('S6'!$I$6:$I$17,'S6'!$B$6:$B$17,$A27,'S6'!$E$6:$E$17,"Ambos")+SUMIFS('S7'!$I$6:$I$19,'S7'!$B$6:$B$19,$A27,'S7'!$E$6:$E$19,"Diego")+SUMIFS('S7'!$I$6:$I$19,'S7'!$B$6:$B$19,$A27,'S7'!$E$6:$E$19,"Ambos")+SUMIFS('S8'!$I$6:$I$23,'S8'!$B$6:$B$23,$A27,'S8'!$E$6:$E$23,"Diego")+SUMIFS('S8'!$I$6:$I$23,'S8'!$B$6:$B$23,$A27,'S8'!$E$6:$E$23,"Ambos")+SUMIFS('S9'!$I$6:$I$15,'S9'!$B$6:$B$15,$A27,'S9'!$E$6:$E$15,"Diego")+SUMIFS('S9'!$I$6:$I$15,'S9'!$B$6:$B$15,$A27,'S9'!$E$6:$E$15,"Ambos")+SUMIFS('S10'!$I$6:$I$13,'S10'!$B$6:$B$13,$A27,'S10'!$E$6:$E$13,"Diego")+SUMIFS('S10'!$I$6:$I$13,'S10'!$B$6:$B$13,$A27,'S10'!$E$6:$E$13,"Ambos")+SUMIFS('Holgura'!$I$6:$I$11,'Holgura'!$B$6:$B$11,$A27,'Holgura'!$E$6:$E$11,"Diego")+SUMIFS('Holgura'!$I$6:$I$11,'Holgura'!$B$6:$B$11,$A27,'Holgura'!$E$6:$E$11,"Ambos")+SUMIFS('Entrega'!$I$6:$I$9,'Entrega'!$B$6:$B$9,$A27,'Entrega'!$E$6:$E$9,"Diego")+SUMIFS('Entrega'!$I$6:$I$9,'Entrega'!$B$6:$B$9,$A27,'Entrega'!$E$6:$E$9,"Ambos")+SUMIFS('Defensa'!$I$6:$I$10,'Defensa'!$B$6:$B$10,$A27,'Defensa'!$E$6:$E$10,"Diego")+SUMIFS('Defensa'!$I$6:$I$10,'Defensa'!$B$6:$B$10,$A27,'Defensa'!$E$6:$E$10,"Ambos")</f>
        <v/>
      </c>
      <c r="F27" s="21">
        <f>COUNTIFS('S1'!$B$6:$B$32,$A27,'S1'!$E$6:$E$32,"Víctor")+COUNTIFS('S1'!$B$6:$B$32,$A27,'S1'!$E$6:$E$32,"Ambos")+COUNTIFS('S2'!$B$6:$B$23,$A27,'S2'!$E$6:$E$23,"Víctor")+COUNTIFS('S2'!$B$6:$B$23,$A27,'S2'!$E$6:$E$23,"Ambos")+COUNTIFS('S3'!$B$6:$B$24,$A27,'S3'!$E$6:$E$24,"Víctor")+COUNTIFS('S3'!$B$6:$B$24,$A27,'S3'!$E$6:$E$24,"Ambos")+COUNTIFS('S4'!$B$6:$B$22,$A27,'S4'!$E$6:$E$22,"Víctor")+COUNTIFS('S4'!$B$6:$B$22,$A27,'S4'!$E$6:$E$22,"Ambos")+COUNTIFS('S5'!$B$6:$B$20,$A27,'S5'!$E$6:$E$20,"Víctor")+COUNTIFS('S5'!$B$6:$B$20,$A27,'S5'!$E$6:$E$20,"Ambos")+COUNTIFS('S6'!$B$6:$B$17,$A27,'S6'!$E$6:$E$17,"Víctor")+COUNTIFS('S6'!$B$6:$B$17,$A27,'S6'!$E$6:$E$17,"Ambos")+COUNTIFS('S7'!$B$6:$B$19,$A27,'S7'!$E$6:$E$19,"Víctor")+COUNTIFS('S7'!$B$6:$B$19,$A27,'S7'!$E$6:$E$19,"Ambos")+COUNTIFS('S8'!$B$6:$B$23,$A27,'S8'!$E$6:$E$23,"Víctor")+COUNTIFS('S8'!$B$6:$B$23,$A27,'S8'!$E$6:$E$23,"Ambos")+COUNTIFS('S9'!$B$6:$B$15,$A27,'S9'!$E$6:$E$15,"Víctor")+COUNTIFS('S9'!$B$6:$B$15,$A27,'S9'!$E$6:$E$15,"Ambos")+COUNTIFS('S10'!$B$6:$B$13,$A27,'S10'!$E$6:$E$13,"Víctor")+COUNTIFS('S10'!$B$6:$B$13,$A27,'S10'!$E$6:$E$13,"Ambos")+COUNTIFS('Holgura'!$B$6:$B$11,$A27,'Holgura'!$E$6:$E$11,"Víctor")+COUNTIFS('Holgura'!$B$6:$B$11,$A27,'Holgura'!$E$6:$E$11,"Ambos")+COUNTIFS('Entrega'!$B$6:$B$9,$A27,'Entrega'!$E$6:$E$9,"Víctor")+COUNTIFS('Entrega'!$B$6:$B$9,$A27,'Entrega'!$E$6:$E$9,"Ambos")+COUNTIFS('Defensa'!$B$6:$B$10,$A27,'Defensa'!$E$6:$E$10,"Víctor")+COUNTIFS('Defensa'!$B$6:$B$10,$A27,'Defensa'!$E$6:$E$10,"Ambos")</f>
        <v/>
      </c>
      <c r="G27" s="21">
        <f>COUNTIFS('S1'!$B$6:$B$32,$A27,'S1'!$E$6:$E$32,"Diego")+COUNTIFS('S1'!$B$6:$B$32,$A27,'S1'!$E$6:$E$32,"Ambos")+COUNTIFS('S2'!$B$6:$B$23,$A27,'S2'!$E$6:$E$23,"Diego")+COUNTIFS('S2'!$B$6:$B$23,$A27,'S2'!$E$6:$E$23,"Ambos")+COUNTIFS('S3'!$B$6:$B$24,$A27,'S3'!$E$6:$E$24,"Diego")+COUNTIFS('S3'!$B$6:$B$24,$A27,'S3'!$E$6:$E$24,"Ambos")+COUNTIFS('S4'!$B$6:$B$22,$A27,'S4'!$E$6:$E$22,"Diego")+COUNTIFS('S4'!$B$6:$B$22,$A27,'S4'!$E$6:$E$22,"Ambos")+COUNTIFS('S5'!$B$6:$B$20,$A27,'S5'!$E$6:$E$20,"Diego")+COUNTIFS('S5'!$B$6:$B$20,$A27,'S5'!$E$6:$E$20,"Ambos")+COUNTIFS('S6'!$B$6:$B$17,$A27,'S6'!$E$6:$E$17,"Diego")+COUNTIFS('S6'!$B$6:$B$17,$A27,'S6'!$E$6:$E$17,"Ambos")+COUNTIFS('S7'!$B$6:$B$19,$A27,'S7'!$E$6:$E$19,"Diego")+COUNTIFS('S7'!$B$6:$B$19,$A27,'S7'!$E$6:$E$19,"Ambos")+COUNTIFS('S8'!$B$6:$B$23,$A27,'S8'!$E$6:$E$23,"Diego")+COUNTIFS('S8'!$B$6:$B$23,$A27,'S8'!$E$6:$E$23,"Ambos")+COUNTIFS('S9'!$B$6:$B$15,$A27,'S9'!$E$6:$E$15,"Diego")+COUNTIFS('S9'!$B$6:$B$15,$A27,'S9'!$E$6:$E$15,"Ambos")+COUNTIFS('S10'!$B$6:$B$13,$A27,'S10'!$E$6:$E$13,"Diego")+COUNTIFS('S10'!$B$6:$B$13,$A27,'S10'!$E$6:$E$13,"Ambos")+COUNTIFS('Holgura'!$B$6:$B$11,$A27,'Holgura'!$E$6:$E$11,"Diego")+COUNTIFS('Holgura'!$B$6:$B$11,$A27,'Holgura'!$E$6:$E$11,"Ambos")+COUNTIFS('Entrega'!$B$6:$B$9,$A27,'Entrega'!$E$6:$E$9,"Diego")+COUNTIFS('Entrega'!$B$6:$B$9,$A27,'Entrega'!$E$6:$E$9,"Ambos")+COUNTIFS('Defensa'!$B$6:$B$10,$A27,'Defensa'!$E$6:$E$10,"Diego")+COUNTIFS('Defensa'!$B$6:$B$10,$A27,'Defensa'!$E$6:$E$10,"Ambos")</f>
        <v/>
      </c>
    </row>
    <row r="28">
      <c r="A28" s="25" t="n">
        <v>46330</v>
      </c>
      <c r="B28" s="26">
        <f>A28</f>
        <v/>
      </c>
      <c r="C28" s="21">
        <f>IF(WEEKDAY(A28,2)&gt;5,4,2)</f>
        <v/>
      </c>
      <c r="D28" s="21">
        <f>SUMIFS('S1'!$I$6:$I$32,'S1'!$B$6:$B$32,$A28,'S1'!$E$6:$E$32,"Víctor")+SUMIFS('S1'!$I$6:$I$32,'S1'!$B$6:$B$32,$A28,'S1'!$E$6:$E$32,"Ambos")+SUMIFS('S2'!$I$6:$I$23,'S2'!$B$6:$B$23,$A28,'S2'!$E$6:$E$23,"Víctor")+SUMIFS('S2'!$I$6:$I$23,'S2'!$B$6:$B$23,$A28,'S2'!$E$6:$E$23,"Ambos")+SUMIFS('S3'!$I$6:$I$24,'S3'!$B$6:$B$24,$A28,'S3'!$E$6:$E$24,"Víctor")+SUMIFS('S3'!$I$6:$I$24,'S3'!$B$6:$B$24,$A28,'S3'!$E$6:$E$24,"Ambos")+SUMIFS('S4'!$I$6:$I$22,'S4'!$B$6:$B$22,$A28,'S4'!$E$6:$E$22,"Víctor")+SUMIFS('S4'!$I$6:$I$22,'S4'!$B$6:$B$22,$A28,'S4'!$E$6:$E$22,"Ambos")+SUMIFS('S5'!$I$6:$I$20,'S5'!$B$6:$B$20,$A28,'S5'!$E$6:$E$20,"Víctor")+SUMIFS('S5'!$I$6:$I$20,'S5'!$B$6:$B$20,$A28,'S5'!$E$6:$E$20,"Ambos")+SUMIFS('S6'!$I$6:$I$17,'S6'!$B$6:$B$17,$A28,'S6'!$E$6:$E$17,"Víctor")+SUMIFS('S6'!$I$6:$I$17,'S6'!$B$6:$B$17,$A28,'S6'!$E$6:$E$17,"Ambos")+SUMIFS('S7'!$I$6:$I$19,'S7'!$B$6:$B$19,$A28,'S7'!$E$6:$E$19,"Víctor")+SUMIFS('S7'!$I$6:$I$19,'S7'!$B$6:$B$19,$A28,'S7'!$E$6:$E$19,"Ambos")+SUMIFS('S8'!$I$6:$I$23,'S8'!$B$6:$B$23,$A28,'S8'!$E$6:$E$23,"Víctor")+SUMIFS('S8'!$I$6:$I$23,'S8'!$B$6:$B$23,$A28,'S8'!$E$6:$E$23,"Ambos")+SUMIFS('S9'!$I$6:$I$15,'S9'!$B$6:$B$15,$A28,'S9'!$E$6:$E$15,"Víctor")+SUMIFS('S9'!$I$6:$I$15,'S9'!$B$6:$B$15,$A28,'S9'!$E$6:$E$15,"Ambos")+SUMIFS('S10'!$I$6:$I$13,'S10'!$B$6:$B$13,$A28,'S10'!$E$6:$E$13,"Víctor")+SUMIFS('S10'!$I$6:$I$13,'S10'!$B$6:$B$13,$A28,'S10'!$E$6:$E$13,"Ambos")+SUMIFS('Holgura'!$I$6:$I$11,'Holgura'!$B$6:$B$11,$A28,'Holgura'!$E$6:$E$11,"Víctor")+SUMIFS('Holgura'!$I$6:$I$11,'Holgura'!$B$6:$B$11,$A28,'Holgura'!$E$6:$E$11,"Ambos")+SUMIFS('Entrega'!$I$6:$I$9,'Entrega'!$B$6:$B$9,$A28,'Entrega'!$E$6:$E$9,"Víctor")+SUMIFS('Entrega'!$I$6:$I$9,'Entrega'!$B$6:$B$9,$A28,'Entrega'!$E$6:$E$9,"Ambos")+SUMIFS('Defensa'!$I$6:$I$10,'Defensa'!$B$6:$B$10,$A28,'Defensa'!$E$6:$E$10,"Víctor")+SUMIFS('Defensa'!$I$6:$I$10,'Defensa'!$B$6:$B$10,$A28,'Defensa'!$E$6:$E$10,"Ambos")</f>
        <v/>
      </c>
      <c r="E28" s="21">
        <f>SUMIFS('S1'!$I$6:$I$32,'S1'!$B$6:$B$32,$A28,'S1'!$E$6:$E$32,"Diego")+SUMIFS('S1'!$I$6:$I$32,'S1'!$B$6:$B$32,$A28,'S1'!$E$6:$E$32,"Ambos")+SUMIFS('S2'!$I$6:$I$23,'S2'!$B$6:$B$23,$A28,'S2'!$E$6:$E$23,"Diego")+SUMIFS('S2'!$I$6:$I$23,'S2'!$B$6:$B$23,$A28,'S2'!$E$6:$E$23,"Ambos")+SUMIFS('S3'!$I$6:$I$24,'S3'!$B$6:$B$24,$A28,'S3'!$E$6:$E$24,"Diego")+SUMIFS('S3'!$I$6:$I$24,'S3'!$B$6:$B$24,$A28,'S3'!$E$6:$E$24,"Ambos")+SUMIFS('S4'!$I$6:$I$22,'S4'!$B$6:$B$22,$A28,'S4'!$E$6:$E$22,"Diego")+SUMIFS('S4'!$I$6:$I$22,'S4'!$B$6:$B$22,$A28,'S4'!$E$6:$E$22,"Ambos")+SUMIFS('S5'!$I$6:$I$20,'S5'!$B$6:$B$20,$A28,'S5'!$E$6:$E$20,"Diego")+SUMIFS('S5'!$I$6:$I$20,'S5'!$B$6:$B$20,$A28,'S5'!$E$6:$E$20,"Ambos")+SUMIFS('S6'!$I$6:$I$17,'S6'!$B$6:$B$17,$A28,'S6'!$E$6:$E$17,"Diego")+SUMIFS('S6'!$I$6:$I$17,'S6'!$B$6:$B$17,$A28,'S6'!$E$6:$E$17,"Ambos")+SUMIFS('S7'!$I$6:$I$19,'S7'!$B$6:$B$19,$A28,'S7'!$E$6:$E$19,"Diego")+SUMIFS('S7'!$I$6:$I$19,'S7'!$B$6:$B$19,$A28,'S7'!$E$6:$E$19,"Ambos")+SUMIFS('S8'!$I$6:$I$23,'S8'!$B$6:$B$23,$A28,'S8'!$E$6:$E$23,"Diego")+SUMIFS('S8'!$I$6:$I$23,'S8'!$B$6:$B$23,$A28,'S8'!$E$6:$E$23,"Ambos")+SUMIFS('S9'!$I$6:$I$15,'S9'!$B$6:$B$15,$A28,'S9'!$E$6:$E$15,"Diego")+SUMIFS('S9'!$I$6:$I$15,'S9'!$B$6:$B$15,$A28,'S9'!$E$6:$E$15,"Ambos")+SUMIFS('S10'!$I$6:$I$13,'S10'!$B$6:$B$13,$A28,'S10'!$E$6:$E$13,"Diego")+SUMIFS('S10'!$I$6:$I$13,'S10'!$B$6:$B$13,$A28,'S10'!$E$6:$E$13,"Ambos")+SUMIFS('Holgura'!$I$6:$I$11,'Holgura'!$B$6:$B$11,$A28,'Holgura'!$E$6:$E$11,"Diego")+SUMIFS('Holgura'!$I$6:$I$11,'Holgura'!$B$6:$B$11,$A28,'Holgura'!$E$6:$E$11,"Ambos")+SUMIFS('Entrega'!$I$6:$I$9,'Entrega'!$B$6:$B$9,$A28,'Entrega'!$E$6:$E$9,"Diego")+SUMIFS('Entrega'!$I$6:$I$9,'Entrega'!$B$6:$B$9,$A28,'Entrega'!$E$6:$E$9,"Ambos")+SUMIFS('Defensa'!$I$6:$I$10,'Defensa'!$B$6:$B$10,$A28,'Defensa'!$E$6:$E$10,"Diego")+SUMIFS('Defensa'!$I$6:$I$10,'Defensa'!$B$6:$B$10,$A28,'Defensa'!$E$6:$E$10,"Ambos")</f>
        <v/>
      </c>
      <c r="F28" s="21">
        <f>COUNTIFS('S1'!$B$6:$B$32,$A28,'S1'!$E$6:$E$32,"Víctor")+COUNTIFS('S1'!$B$6:$B$32,$A28,'S1'!$E$6:$E$32,"Ambos")+COUNTIFS('S2'!$B$6:$B$23,$A28,'S2'!$E$6:$E$23,"Víctor")+COUNTIFS('S2'!$B$6:$B$23,$A28,'S2'!$E$6:$E$23,"Ambos")+COUNTIFS('S3'!$B$6:$B$24,$A28,'S3'!$E$6:$E$24,"Víctor")+COUNTIFS('S3'!$B$6:$B$24,$A28,'S3'!$E$6:$E$24,"Ambos")+COUNTIFS('S4'!$B$6:$B$22,$A28,'S4'!$E$6:$E$22,"Víctor")+COUNTIFS('S4'!$B$6:$B$22,$A28,'S4'!$E$6:$E$22,"Ambos")+COUNTIFS('S5'!$B$6:$B$20,$A28,'S5'!$E$6:$E$20,"Víctor")+COUNTIFS('S5'!$B$6:$B$20,$A28,'S5'!$E$6:$E$20,"Ambos")+COUNTIFS('S6'!$B$6:$B$17,$A28,'S6'!$E$6:$E$17,"Víctor")+COUNTIFS('S6'!$B$6:$B$17,$A28,'S6'!$E$6:$E$17,"Ambos")+COUNTIFS('S7'!$B$6:$B$19,$A28,'S7'!$E$6:$E$19,"Víctor")+COUNTIFS('S7'!$B$6:$B$19,$A28,'S7'!$E$6:$E$19,"Ambos")+COUNTIFS('S8'!$B$6:$B$23,$A28,'S8'!$E$6:$E$23,"Víctor")+COUNTIFS('S8'!$B$6:$B$23,$A28,'S8'!$E$6:$E$23,"Ambos")+COUNTIFS('S9'!$B$6:$B$15,$A28,'S9'!$E$6:$E$15,"Víctor")+COUNTIFS('S9'!$B$6:$B$15,$A28,'S9'!$E$6:$E$15,"Ambos")+COUNTIFS('S10'!$B$6:$B$13,$A28,'S10'!$E$6:$E$13,"Víctor")+COUNTIFS('S10'!$B$6:$B$13,$A28,'S10'!$E$6:$E$13,"Ambos")+COUNTIFS('Holgura'!$B$6:$B$11,$A28,'Holgura'!$E$6:$E$11,"Víctor")+COUNTIFS('Holgura'!$B$6:$B$11,$A28,'Holgura'!$E$6:$E$11,"Ambos")+COUNTIFS('Entrega'!$B$6:$B$9,$A28,'Entrega'!$E$6:$E$9,"Víctor")+COUNTIFS('Entrega'!$B$6:$B$9,$A28,'Entrega'!$E$6:$E$9,"Ambos")+COUNTIFS('Defensa'!$B$6:$B$10,$A28,'Defensa'!$E$6:$E$10,"Víctor")+COUNTIFS('Defensa'!$B$6:$B$10,$A28,'Defensa'!$E$6:$E$10,"Ambos")</f>
        <v/>
      </c>
      <c r="G28" s="21">
        <f>COUNTIFS('S1'!$B$6:$B$32,$A28,'S1'!$E$6:$E$32,"Diego")+COUNTIFS('S1'!$B$6:$B$32,$A28,'S1'!$E$6:$E$32,"Ambos")+COUNTIFS('S2'!$B$6:$B$23,$A28,'S2'!$E$6:$E$23,"Diego")+COUNTIFS('S2'!$B$6:$B$23,$A28,'S2'!$E$6:$E$23,"Ambos")+COUNTIFS('S3'!$B$6:$B$24,$A28,'S3'!$E$6:$E$24,"Diego")+COUNTIFS('S3'!$B$6:$B$24,$A28,'S3'!$E$6:$E$24,"Ambos")+COUNTIFS('S4'!$B$6:$B$22,$A28,'S4'!$E$6:$E$22,"Diego")+COUNTIFS('S4'!$B$6:$B$22,$A28,'S4'!$E$6:$E$22,"Ambos")+COUNTIFS('S5'!$B$6:$B$20,$A28,'S5'!$E$6:$E$20,"Diego")+COUNTIFS('S5'!$B$6:$B$20,$A28,'S5'!$E$6:$E$20,"Ambos")+COUNTIFS('S6'!$B$6:$B$17,$A28,'S6'!$E$6:$E$17,"Diego")+COUNTIFS('S6'!$B$6:$B$17,$A28,'S6'!$E$6:$E$17,"Ambos")+COUNTIFS('S7'!$B$6:$B$19,$A28,'S7'!$E$6:$E$19,"Diego")+COUNTIFS('S7'!$B$6:$B$19,$A28,'S7'!$E$6:$E$19,"Ambos")+COUNTIFS('S8'!$B$6:$B$23,$A28,'S8'!$E$6:$E$23,"Diego")+COUNTIFS('S8'!$B$6:$B$23,$A28,'S8'!$E$6:$E$23,"Ambos")+COUNTIFS('S9'!$B$6:$B$15,$A28,'S9'!$E$6:$E$15,"Diego")+COUNTIFS('S9'!$B$6:$B$15,$A28,'S9'!$E$6:$E$15,"Ambos")+COUNTIFS('S10'!$B$6:$B$13,$A28,'S10'!$E$6:$E$13,"Diego")+COUNTIFS('S10'!$B$6:$B$13,$A28,'S10'!$E$6:$E$13,"Ambos")+COUNTIFS('Holgura'!$B$6:$B$11,$A28,'Holgura'!$E$6:$E$11,"Diego")+COUNTIFS('Holgura'!$B$6:$B$11,$A28,'Holgura'!$E$6:$E$11,"Ambos")+COUNTIFS('Entrega'!$B$6:$B$9,$A28,'Entrega'!$E$6:$E$9,"Diego")+COUNTIFS('Entrega'!$B$6:$B$9,$A28,'Entrega'!$E$6:$E$9,"Ambos")+COUNTIFS('Defensa'!$B$6:$B$10,$A28,'Defensa'!$E$6:$E$10,"Diego")+COUNTIFS('Defensa'!$B$6:$B$10,$A28,'Defensa'!$E$6:$E$10,"Ambos")</f>
        <v/>
      </c>
    </row>
    <row r="29">
      <c r="A29" s="25" t="n">
        <v>46331</v>
      </c>
      <c r="B29" s="26">
        <f>A29</f>
        <v/>
      </c>
      <c r="C29" s="21">
        <f>IF(WEEKDAY(A29,2)&gt;5,4,2)</f>
        <v/>
      </c>
      <c r="D29" s="21">
        <f>SUMIFS('S1'!$I$6:$I$32,'S1'!$B$6:$B$32,$A29,'S1'!$E$6:$E$32,"Víctor")+SUMIFS('S1'!$I$6:$I$32,'S1'!$B$6:$B$32,$A29,'S1'!$E$6:$E$32,"Ambos")+SUMIFS('S2'!$I$6:$I$23,'S2'!$B$6:$B$23,$A29,'S2'!$E$6:$E$23,"Víctor")+SUMIFS('S2'!$I$6:$I$23,'S2'!$B$6:$B$23,$A29,'S2'!$E$6:$E$23,"Ambos")+SUMIFS('S3'!$I$6:$I$24,'S3'!$B$6:$B$24,$A29,'S3'!$E$6:$E$24,"Víctor")+SUMIFS('S3'!$I$6:$I$24,'S3'!$B$6:$B$24,$A29,'S3'!$E$6:$E$24,"Ambos")+SUMIFS('S4'!$I$6:$I$22,'S4'!$B$6:$B$22,$A29,'S4'!$E$6:$E$22,"Víctor")+SUMIFS('S4'!$I$6:$I$22,'S4'!$B$6:$B$22,$A29,'S4'!$E$6:$E$22,"Ambos")+SUMIFS('S5'!$I$6:$I$20,'S5'!$B$6:$B$20,$A29,'S5'!$E$6:$E$20,"Víctor")+SUMIFS('S5'!$I$6:$I$20,'S5'!$B$6:$B$20,$A29,'S5'!$E$6:$E$20,"Ambos")+SUMIFS('S6'!$I$6:$I$17,'S6'!$B$6:$B$17,$A29,'S6'!$E$6:$E$17,"Víctor")+SUMIFS('S6'!$I$6:$I$17,'S6'!$B$6:$B$17,$A29,'S6'!$E$6:$E$17,"Ambos")+SUMIFS('S7'!$I$6:$I$19,'S7'!$B$6:$B$19,$A29,'S7'!$E$6:$E$19,"Víctor")+SUMIFS('S7'!$I$6:$I$19,'S7'!$B$6:$B$19,$A29,'S7'!$E$6:$E$19,"Ambos")+SUMIFS('S8'!$I$6:$I$23,'S8'!$B$6:$B$23,$A29,'S8'!$E$6:$E$23,"Víctor")+SUMIFS('S8'!$I$6:$I$23,'S8'!$B$6:$B$23,$A29,'S8'!$E$6:$E$23,"Ambos")+SUMIFS('S9'!$I$6:$I$15,'S9'!$B$6:$B$15,$A29,'S9'!$E$6:$E$15,"Víctor")+SUMIFS('S9'!$I$6:$I$15,'S9'!$B$6:$B$15,$A29,'S9'!$E$6:$E$15,"Ambos")+SUMIFS('S10'!$I$6:$I$13,'S10'!$B$6:$B$13,$A29,'S10'!$E$6:$E$13,"Víctor")+SUMIFS('S10'!$I$6:$I$13,'S10'!$B$6:$B$13,$A29,'S10'!$E$6:$E$13,"Ambos")+SUMIFS('Holgura'!$I$6:$I$11,'Holgura'!$B$6:$B$11,$A29,'Holgura'!$E$6:$E$11,"Víctor")+SUMIFS('Holgura'!$I$6:$I$11,'Holgura'!$B$6:$B$11,$A29,'Holgura'!$E$6:$E$11,"Ambos")+SUMIFS('Entrega'!$I$6:$I$9,'Entrega'!$B$6:$B$9,$A29,'Entrega'!$E$6:$E$9,"Víctor")+SUMIFS('Entrega'!$I$6:$I$9,'Entrega'!$B$6:$B$9,$A29,'Entrega'!$E$6:$E$9,"Ambos")+SUMIFS('Defensa'!$I$6:$I$10,'Defensa'!$B$6:$B$10,$A29,'Defensa'!$E$6:$E$10,"Víctor")+SUMIFS('Defensa'!$I$6:$I$10,'Defensa'!$B$6:$B$10,$A29,'Defensa'!$E$6:$E$10,"Ambos")</f>
        <v/>
      </c>
      <c r="E29" s="21">
        <f>SUMIFS('S1'!$I$6:$I$32,'S1'!$B$6:$B$32,$A29,'S1'!$E$6:$E$32,"Diego")+SUMIFS('S1'!$I$6:$I$32,'S1'!$B$6:$B$32,$A29,'S1'!$E$6:$E$32,"Ambos")+SUMIFS('S2'!$I$6:$I$23,'S2'!$B$6:$B$23,$A29,'S2'!$E$6:$E$23,"Diego")+SUMIFS('S2'!$I$6:$I$23,'S2'!$B$6:$B$23,$A29,'S2'!$E$6:$E$23,"Ambos")+SUMIFS('S3'!$I$6:$I$24,'S3'!$B$6:$B$24,$A29,'S3'!$E$6:$E$24,"Diego")+SUMIFS('S3'!$I$6:$I$24,'S3'!$B$6:$B$24,$A29,'S3'!$E$6:$E$24,"Ambos")+SUMIFS('S4'!$I$6:$I$22,'S4'!$B$6:$B$22,$A29,'S4'!$E$6:$E$22,"Diego")+SUMIFS('S4'!$I$6:$I$22,'S4'!$B$6:$B$22,$A29,'S4'!$E$6:$E$22,"Ambos")+SUMIFS('S5'!$I$6:$I$20,'S5'!$B$6:$B$20,$A29,'S5'!$E$6:$E$20,"Diego")+SUMIFS('S5'!$I$6:$I$20,'S5'!$B$6:$B$20,$A29,'S5'!$E$6:$E$20,"Ambos")+SUMIFS('S6'!$I$6:$I$17,'S6'!$B$6:$B$17,$A29,'S6'!$E$6:$E$17,"Diego")+SUMIFS('S6'!$I$6:$I$17,'S6'!$B$6:$B$17,$A29,'S6'!$E$6:$E$17,"Ambos")+SUMIFS('S7'!$I$6:$I$19,'S7'!$B$6:$B$19,$A29,'S7'!$E$6:$E$19,"Diego")+SUMIFS('S7'!$I$6:$I$19,'S7'!$B$6:$B$19,$A29,'S7'!$E$6:$E$19,"Ambos")+SUMIFS('S8'!$I$6:$I$23,'S8'!$B$6:$B$23,$A29,'S8'!$E$6:$E$23,"Diego")+SUMIFS('S8'!$I$6:$I$23,'S8'!$B$6:$B$23,$A29,'S8'!$E$6:$E$23,"Ambos")+SUMIFS('S9'!$I$6:$I$15,'S9'!$B$6:$B$15,$A29,'S9'!$E$6:$E$15,"Diego")+SUMIFS('S9'!$I$6:$I$15,'S9'!$B$6:$B$15,$A29,'S9'!$E$6:$E$15,"Ambos")+SUMIFS('S10'!$I$6:$I$13,'S10'!$B$6:$B$13,$A29,'S10'!$E$6:$E$13,"Diego")+SUMIFS('S10'!$I$6:$I$13,'S10'!$B$6:$B$13,$A29,'S10'!$E$6:$E$13,"Ambos")+SUMIFS('Holgura'!$I$6:$I$11,'Holgura'!$B$6:$B$11,$A29,'Holgura'!$E$6:$E$11,"Diego")+SUMIFS('Holgura'!$I$6:$I$11,'Holgura'!$B$6:$B$11,$A29,'Holgura'!$E$6:$E$11,"Ambos")+SUMIFS('Entrega'!$I$6:$I$9,'Entrega'!$B$6:$B$9,$A29,'Entrega'!$E$6:$E$9,"Diego")+SUMIFS('Entrega'!$I$6:$I$9,'Entrega'!$B$6:$B$9,$A29,'Entrega'!$E$6:$E$9,"Ambos")+SUMIFS('Defensa'!$I$6:$I$10,'Defensa'!$B$6:$B$10,$A29,'Defensa'!$E$6:$E$10,"Diego")+SUMIFS('Defensa'!$I$6:$I$10,'Defensa'!$B$6:$B$10,$A29,'Defensa'!$E$6:$E$10,"Ambos")</f>
        <v/>
      </c>
      <c r="F29" s="21">
        <f>COUNTIFS('S1'!$B$6:$B$32,$A29,'S1'!$E$6:$E$32,"Víctor")+COUNTIFS('S1'!$B$6:$B$32,$A29,'S1'!$E$6:$E$32,"Ambos")+COUNTIFS('S2'!$B$6:$B$23,$A29,'S2'!$E$6:$E$23,"Víctor")+COUNTIFS('S2'!$B$6:$B$23,$A29,'S2'!$E$6:$E$23,"Ambos")+COUNTIFS('S3'!$B$6:$B$24,$A29,'S3'!$E$6:$E$24,"Víctor")+COUNTIFS('S3'!$B$6:$B$24,$A29,'S3'!$E$6:$E$24,"Ambos")+COUNTIFS('S4'!$B$6:$B$22,$A29,'S4'!$E$6:$E$22,"Víctor")+COUNTIFS('S4'!$B$6:$B$22,$A29,'S4'!$E$6:$E$22,"Ambos")+COUNTIFS('S5'!$B$6:$B$20,$A29,'S5'!$E$6:$E$20,"Víctor")+COUNTIFS('S5'!$B$6:$B$20,$A29,'S5'!$E$6:$E$20,"Ambos")+COUNTIFS('S6'!$B$6:$B$17,$A29,'S6'!$E$6:$E$17,"Víctor")+COUNTIFS('S6'!$B$6:$B$17,$A29,'S6'!$E$6:$E$17,"Ambos")+COUNTIFS('S7'!$B$6:$B$19,$A29,'S7'!$E$6:$E$19,"Víctor")+COUNTIFS('S7'!$B$6:$B$19,$A29,'S7'!$E$6:$E$19,"Ambos")+COUNTIFS('S8'!$B$6:$B$23,$A29,'S8'!$E$6:$E$23,"Víctor")+COUNTIFS('S8'!$B$6:$B$23,$A29,'S8'!$E$6:$E$23,"Ambos")+COUNTIFS('S9'!$B$6:$B$15,$A29,'S9'!$E$6:$E$15,"Víctor")+COUNTIFS('S9'!$B$6:$B$15,$A29,'S9'!$E$6:$E$15,"Ambos")+COUNTIFS('S10'!$B$6:$B$13,$A29,'S10'!$E$6:$E$13,"Víctor")+COUNTIFS('S10'!$B$6:$B$13,$A29,'S10'!$E$6:$E$13,"Ambos")+COUNTIFS('Holgura'!$B$6:$B$11,$A29,'Holgura'!$E$6:$E$11,"Víctor")+COUNTIFS('Holgura'!$B$6:$B$11,$A29,'Holgura'!$E$6:$E$11,"Ambos")+COUNTIFS('Entrega'!$B$6:$B$9,$A29,'Entrega'!$E$6:$E$9,"Víctor")+COUNTIFS('Entrega'!$B$6:$B$9,$A29,'Entrega'!$E$6:$E$9,"Ambos")+COUNTIFS('Defensa'!$B$6:$B$10,$A29,'Defensa'!$E$6:$E$10,"Víctor")+COUNTIFS('Defensa'!$B$6:$B$10,$A29,'Defensa'!$E$6:$E$10,"Ambos")</f>
        <v/>
      </c>
      <c r="G29" s="21">
        <f>COUNTIFS('S1'!$B$6:$B$32,$A29,'S1'!$E$6:$E$32,"Diego")+COUNTIFS('S1'!$B$6:$B$32,$A29,'S1'!$E$6:$E$32,"Ambos")+COUNTIFS('S2'!$B$6:$B$23,$A29,'S2'!$E$6:$E$23,"Diego")+COUNTIFS('S2'!$B$6:$B$23,$A29,'S2'!$E$6:$E$23,"Ambos")+COUNTIFS('S3'!$B$6:$B$24,$A29,'S3'!$E$6:$E$24,"Diego")+COUNTIFS('S3'!$B$6:$B$24,$A29,'S3'!$E$6:$E$24,"Ambos")+COUNTIFS('S4'!$B$6:$B$22,$A29,'S4'!$E$6:$E$22,"Diego")+COUNTIFS('S4'!$B$6:$B$22,$A29,'S4'!$E$6:$E$22,"Ambos")+COUNTIFS('S5'!$B$6:$B$20,$A29,'S5'!$E$6:$E$20,"Diego")+COUNTIFS('S5'!$B$6:$B$20,$A29,'S5'!$E$6:$E$20,"Ambos")+COUNTIFS('S6'!$B$6:$B$17,$A29,'S6'!$E$6:$E$17,"Diego")+COUNTIFS('S6'!$B$6:$B$17,$A29,'S6'!$E$6:$E$17,"Ambos")+COUNTIFS('S7'!$B$6:$B$19,$A29,'S7'!$E$6:$E$19,"Diego")+COUNTIFS('S7'!$B$6:$B$19,$A29,'S7'!$E$6:$E$19,"Ambos")+COUNTIFS('S8'!$B$6:$B$23,$A29,'S8'!$E$6:$E$23,"Diego")+COUNTIFS('S8'!$B$6:$B$23,$A29,'S8'!$E$6:$E$23,"Ambos")+COUNTIFS('S9'!$B$6:$B$15,$A29,'S9'!$E$6:$E$15,"Diego")+COUNTIFS('S9'!$B$6:$B$15,$A29,'S9'!$E$6:$E$15,"Ambos")+COUNTIFS('S10'!$B$6:$B$13,$A29,'S10'!$E$6:$E$13,"Diego")+COUNTIFS('S10'!$B$6:$B$13,$A29,'S10'!$E$6:$E$13,"Ambos")+COUNTIFS('Holgura'!$B$6:$B$11,$A29,'Holgura'!$E$6:$E$11,"Diego")+COUNTIFS('Holgura'!$B$6:$B$11,$A29,'Holgura'!$E$6:$E$11,"Ambos")+COUNTIFS('Entrega'!$B$6:$B$9,$A29,'Entrega'!$E$6:$E$9,"Diego")+COUNTIFS('Entrega'!$B$6:$B$9,$A29,'Entrega'!$E$6:$E$9,"Ambos")+COUNTIFS('Defensa'!$B$6:$B$10,$A29,'Defensa'!$E$6:$E$10,"Diego")+COUNTIFS('Defensa'!$B$6:$B$10,$A29,'Defensa'!$E$6:$E$10,"Ambos")</f>
        <v/>
      </c>
    </row>
    <row r="30">
      <c r="A30" s="25" t="n">
        <v>46332</v>
      </c>
      <c r="B30" s="26">
        <f>A30</f>
        <v/>
      </c>
      <c r="C30" s="21">
        <f>IF(WEEKDAY(A30,2)&gt;5,4,2)</f>
        <v/>
      </c>
      <c r="D30" s="21">
        <f>SUMIFS('S1'!$I$6:$I$32,'S1'!$B$6:$B$32,$A30,'S1'!$E$6:$E$32,"Víctor")+SUMIFS('S1'!$I$6:$I$32,'S1'!$B$6:$B$32,$A30,'S1'!$E$6:$E$32,"Ambos")+SUMIFS('S2'!$I$6:$I$23,'S2'!$B$6:$B$23,$A30,'S2'!$E$6:$E$23,"Víctor")+SUMIFS('S2'!$I$6:$I$23,'S2'!$B$6:$B$23,$A30,'S2'!$E$6:$E$23,"Ambos")+SUMIFS('S3'!$I$6:$I$24,'S3'!$B$6:$B$24,$A30,'S3'!$E$6:$E$24,"Víctor")+SUMIFS('S3'!$I$6:$I$24,'S3'!$B$6:$B$24,$A30,'S3'!$E$6:$E$24,"Ambos")+SUMIFS('S4'!$I$6:$I$22,'S4'!$B$6:$B$22,$A30,'S4'!$E$6:$E$22,"Víctor")+SUMIFS('S4'!$I$6:$I$22,'S4'!$B$6:$B$22,$A30,'S4'!$E$6:$E$22,"Ambos")+SUMIFS('S5'!$I$6:$I$20,'S5'!$B$6:$B$20,$A30,'S5'!$E$6:$E$20,"Víctor")+SUMIFS('S5'!$I$6:$I$20,'S5'!$B$6:$B$20,$A30,'S5'!$E$6:$E$20,"Ambos")+SUMIFS('S6'!$I$6:$I$17,'S6'!$B$6:$B$17,$A30,'S6'!$E$6:$E$17,"Víctor")+SUMIFS('S6'!$I$6:$I$17,'S6'!$B$6:$B$17,$A30,'S6'!$E$6:$E$17,"Ambos")+SUMIFS('S7'!$I$6:$I$19,'S7'!$B$6:$B$19,$A30,'S7'!$E$6:$E$19,"Víctor")+SUMIFS('S7'!$I$6:$I$19,'S7'!$B$6:$B$19,$A30,'S7'!$E$6:$E$19,"Ambos")+SUMIFS('S8'!$I$6:$I$23,'S8'!$B$6:$B$23,$A30,'S8'!$E$6:$E$23,"Víctor")+SUMIFS('S8'!$I$6:$I$23,'S8'!$B$6:$B$23,$A30,'S8'!$E$6:$E$23,"Ambos")+SUMIFS('S9'!$I$6:$I$15,'S9'!$B$6:$B$15,$A30,'S9'!$E$6:$E$15,"Víctor")+SUMIFS('S9'!$I$6:$I$15,'S9'!$B$6:$B$15,$A30,'S9'!$E$6:$E$15,"Ambos")+SUMIFS('S10'!$I$6:$I$13,'S10'!$B$6:$B$13,$A30,'S10'!$E$6:$E$13,"Víctor")+SUMIFS('S10'!$I$6:$I$13,'S10'!$B$6:$B$13,$A30,'S10'!$E$6:$E$13,"Ambos")+SUMIFS('Holgura'!$I$6:$I$11,'Holgura'!$B$6:$B$11,$A30,'Holgura'!$E$6:$E$11,"Víctor")+SUMIFS('Holgura'!$I$6:$I$11,'Holgura'!$B$6:$B$11,$A30,'Holgura'!$E$6:$E$11,"Ambos")+SUMIFS('Entrega'!$I$6:$I$9,'Entrega'!$B$6:$B$9,$A30,'Entrega'!$E$6:$E$9,"Víctor")+SUMIFS('Entrega'!$I$6:$I$9,'Entrega'!$B$6:$B$9,$A30,'Entrega'!$E$6:$E$9,"Ambos")+SUMIFS('Defensa'!$I$6:$I$10,'Defensa'!$B$6:$B$10,$A30,'Defensa'!$E$6:$E$10,"Víctor")+SUMIFS('Defensa'!$I$6:$I$10,'Defensa'!$B$6:$B$10,$A30,'Defensa'!$E$6:$E$10,"Ambos")</f>
        <v/>
      </c>
      <c r="E30" s="21">
        <f>SUMIFS('S1'!$I$6:$I$32,'S1'!$B$6:$B$32,$A30,'S1'!$E$6:$E$32,"Diego")+SUMIFS('S1'!$I$6:$I$32,'S1'!$B$6:$B$32,$A30,'S1'!$E$6:$E$32,"Ambos")+SUMIFS('S2'!$I$6:$I$23,'S2'!$B$6:$B$23,$A30,'S2'!$E$6:$E$23,"Diego")+SUMIFS('S2'!$I$6:$I$23,'S2'!$B$6:$B$23,$A30,'S2'!$E$6:$E$23,"Ambos")+SUMIFS('S3'!$I$6:$I$24,'S3'!$B$6:$B$24,$A30,'S3'!$E$6:$E$24,"Diego")+SUMIFS('S3'!$I$6:$I$24,'S3'!$B$6:$B$24,$A30,'S3'!$E$6:$E$24,"Ambos")+SUMIFS('S4'!$I$6:$I$22,'S4'!$B$6:$B$22,$A30,'S4'!$E$6:$E$22,"Diego")+SUMIFS('S4'!$I$6:$I$22,'S4'!$B$6:$B$22,$A30,'S4'!$E$6:$E$22,"Ambos")+SUMIFS('S5'!$I$6:$I$20,'S5'!$B$6:$B$20,$A30,'S5'!$E$6:$E$20,"Diego")+SUMIFS('S5'!$I$6:$I$20,'S5'!$B$6:$B$20,$A30,'S5'!$E$6:$E$20,"Ambos")+SUMIFS('S6'!$I$6:$I$17,'S6'!$B$6:$B$17,$A30,'S6'!$E$6:$E$17,"Diego")+SUMIFS('S6'!$I$6:$I$17,'S6'!$B$6:$B$17,$A30,'S6'!$E$6:$E$17,"Ambos")+SUMIFS('S7'!$I$6:$I$19,'S7'!$B$6:$B$19,$A30,'S7'!$E$6:$E$19,"Diego")+SUMIFS('S7'!$I$6:$I$19,'S7'!$B$6:$B$19,$A30,'S7'!$E$6:$E$19,"Ambos")+SUMIFS('S8'!$I$6:$I$23,'S8'!$B$6:$B$23,$A30,'S8'!$E$6:$E$23,"Diego")+SUMIFS('S8'!$I$6:$I$23,'S8'!$B$6:$B$23,$A30,'S8'!$E$6:$E$23,"Ambos")+SUMIFS('S9'!$I$6:$I$15,'S9'!$B$6:$B$15,$A30,'S9'!$E$6:$E$15,"Diego")+SUMIFS('S9'!$I$6:$I$15,'S9'!$B$6:$B$15,$A30,'S9'!$E$6:$E$15,"Ambos")+SUMIFS('S10'!$I$6:$I$13,'S10'!$B$6:$B$13,$A30,'S10'!$E$6:$E$13,"Diego")+SUMIFS('S10'!$I$6:$I$13,'S10'!$B$6:$B$13,$A30,'S10'!$E$6:$E$13,"Ambos")+SUMIFS('Holgura'!$I$6:$I$11,'Holgura'!$B$6:$B$11,$A30,'Holgura'!$E$6:$E$11,"Diego")+SUMIFS('Holgura'!$I$6:$I$11,'Holgura'!$B$6:$B$11,$A30,'Holgura'!$E$6:$E$11,"Ambos")+SUMIFS('Entrega'!$I$6:$I$9,'Entrega'!$B$6:$B$9,$A30,'Entrega'!$E$6:$E$9,"Diego")+SUMIFS('Entrega'!$I$6:$I$9,'Entrega'!$B$6:$B$9,$A30,'Entrega'!$E$6:$E$9,"Ambos")+SUMIFS('Defensa'!$I$6:$I$10,'Defensa'!$B$6:$B$10,$A30,'Defensa'!$E$6:$E$10,"Diego")+SUMIFS('Defensa'!$I$6:$I$10,'Defensa'!$B$6:$B$10,$A30,'Defensa'!$E$6:$E$10,"Ambos")</f>
        <v/>
      </c>
      <c r="F30" s="21">
        <f>COUNTIFS('S1'!$B$6:$B$32,$A30,'S1'!$E$6:$E$32,"Víctor")+COUNTIFS('S1'!$B$6:$B$32,$A30,'S1'!$E$6:$E$32,"Ambos")+COUNTIFS('S2'!$B$6:$B$23,$A30,'S2'!$E$6:$E$23,"Víctor")+COUNTIFS('S2'!$B$6:$B$23,$A30,'S2'!$E$6:$E$23,"Ambos")+COUNTIFS('S3'!$B$6:$B$24,$A30,'S3'!$E$6:$E$24,"Víctor")+COUNTIFS('S3'!$B$6:$B$24,$A30,'S3'!$E$6:$E$24,"Ambos")+COUNTIFS('S4'!$B$6:$B$22,$A30,'S4'!$E$6:$E$22,"Víctor")+COUNTIFS('S4'!$B$6:$B$22,$A30,'S4'!$E$6:$E$22,"Ambos")+COUNTIFS('S5'!$B$6:$B$20,$A30,'S5'!$E$6:$E$20,"Víctor")+COUNTIFS('S5'!$B$6:$B$20,$A30,'S5'!$E$6:$E$20,"Ambos")+COUNTIFS('S6'!$B$6:$B$17,$A30,'S6'!$E$6:$E$17,"Víctor")+COUNTIFS('S6'!$B$6:$B$17,$A30,'S6'!$E$6:$E$17,"Ambos")+COUNTIFS('S7'!$B$6:$B$19,$A30,'S7'!$E$6:$E$19,"Víctor")+COUNTIFS('S7'!$B$6:$B$19,$A30,'S7'!$E$6:$E$19,"Ambos")+COUNTIFS('S8'!$B$6:$B$23,$A30,'S8'!$E$6:$E$23,"Víctor")+COUNTIFS('S8'!$B$6:$B$23,$A30,'S8'!$E$6:$E$23,"Ambos")+COUNTIFS('S9'!$B$6:$B$15,$A30,'S9'!$E$6:$E$15,"Víctor")+COUNTIFS('S9'!$B$6:$B$15,$A30,'S9'!$E$6:$E$15,"Ambos")+COUNTIFS('S10'!$B$6:$B$13,$A30,'S10'!$E$6:$E$13,"Víctor")+COUNTIFS('S10'!$B$6:$B$13,$A30,'S10'!$E$6:$E$13,"Ambos")+COUNTIFS('Holgura'!$B$6:$B$11,$A30,'Holgura'!$E$6:$E$11,"Víctor")+COUNTIFS('Holgura'!$B$6:$B$11,$A30,'Holgura'!$E$6:$E$11,"Ambos")+COUNTIFS('Entrega'!$B$6:$B$9,$A30,'Entrega'!$E$6:$E$9,"Víctor")+COUNTIFS('Entrega'!$B$6:$B$9,$A30,'Entrega'!$E$6:$E$9,"Ambos")+COUNTIFS('Defensa'!$B$6:$B$10,$A30,'Defensa'!$E$6:$E$10,"Víctor")+COUNTIFS('Defensa'!$B$6:$B$10,$A30,'Defensa'!$E$6:$E$10,"Ambos")</f>
        <v/>
      </c>
      <c r="G30" s="21">
        <f>COUNTIFS('S1'!$B$6:$B$32,$A30,'S1'!$E$6:$E$32,"Diego")+COUNTIFS('S1'!$B$6:$B$32,$A30,'S1'!$E$6:$E$32,"Ambos")+COUNTIFS('S2'!$B$6:$B$23,$A30,'S2'!$E$6:$E$23,"Diego")+COUNTIFS('S2'!$B$6:$B$23,$A30,'S2'!$E$6:$E$23,"Ambos")+COUNTIFS('S3'!$B$6:$B$24,$A30,'S3'!$E$6:$E$24,"Diego")+COUNTIFS('S3'!$B$6:$B$24,$A30,'S3'!$E$6:$E$24,"Ambos")+COUNTIFS('S4'!$B$6:$B$22,$A30,'S4'!$E$6:$E$22,"Diego")+COUNTIFS('S4'!$B$6:$B$22,$A30,'S4'!$E$6:$E$22,"Ambos")+COUNTIFS('S5'!$B$6:$B$20,$A30,'S5'!$E$6:$E$20,"Diego")+COUNTIFS('S5'!$B$6:$B$20,$A30,'S5'!$E$6:$E$20,"Ambos")+COUNTIFS('S6'!$B$6:$B$17,$A30,'S6'!$E$6:$E$17,"Diego")+COUNTIFS('S6'!$B$6:$B$17,$A30,'S6'!$E$6:$E$17,"Ambos")+COUNTIFS('S7'!$B$6:$B$19,$A30,'S7'!$E$6:$E$19,"Diego")+COUNTIFS('S7'!$B$6:$B$19,$A30,'S7'!$E$6:$E$19,"Ambos")+COUNTIFS('S8'!$B$6:$B$23,$A30,'S8'!$E$6:$E$23,"Diego")+COUNTIFS('S8'!$B$6:$B$23,$A30,'S8'!$E$6:$E$23,"Ambos")+COUNTIFS('S9'!$B$6:$B$15,$A30,'S9'!$E$6:$E$15,"Diego")+COUNTIFS('S9'!$B$6:$B$15,$A30,'S9'!$E$6:$E$15,"Ambos")+COUNTIFS('S10'!$B$6:$B$13,$A30,'S10'!$E$6:$E$13,"Diego")+COUNTIFS('S10'!$B$6:$B$13,$A30,'S10'!$E$6:$E$13,"Ambos")+COUNTIFS('Holgura'!$B$6:$B$11,$A30,'Holgura'!$E$6:$E$11,"Diego")+COUNTIFS('Holgura'!$B$6:$B$11,$A30,'Holgura'!$E$6:$E$11,"Ambos")+COUNTIFS('Entrega'!$B$6:$B$9,$A30,'Entrega'!$E$6:$E$9,"Diego")+COUNTIFS('Entrega'!$B$6:$B$9,$A30,'Entrega'!$E$6:$E$9,"Ambos")+COUNTIFS('Defensa'!$B$6:$B$10,$A30,'Defensa'!$E$6:$E$10,"Diego")+COUNTIFS('Defensa'!$B$6:$B$10,$A30,'Defensa'!$E$6:$E$10,"Ambos")</f>
        <v/>
      </c>
    </row>
    <row r="31">
      <c r="A31" s="25" t="n">
        <v>46333</v>
      </c>
      <c r="B31" s="26">
        <f>A31</f>
        <v/>
      </c>
      <c r="C31" s="21">
        <f>IF(WEEKDAY(A31,2)&gt;5,4,2)</f>
        <v/>
      </c>
      <c r="D31" s="21">
        <f>SUMIFS('S1'!$I$6:$I$32,'S1'!$B$6:$B$32,$A31,'S1'!$E$6:$E$32,"Víctor")+SUMIFS('S1'!$I$6:$I$32,'S1'!$B$6:$B$32,$A31,'S1'!$E$6:$E$32,"Ambos")+SUMIFS('S2'!$I$6:$I$23,'S2'!$B$6:$B$23,$A31,'S2'!$E$6:$E$23,"Víctor")+SUMIFS('S2'!$I$6:$I$23,'S2'!$B$6:$B$23,$A31,'S2'!$E$6:$E$23,"Ambos")+SUMIFS('S3'!$I$6:$I$24,'S3'!$B$6:$B$24,$A31,'S3'!$E$6:$E$24,"Víctor")+SUMIFS('S3'!$I$6:$I$24,'S3'!$B$6:$B$24,$A31,'S3'!$E$6:$E$24,"Ambos")+SUMIFS('S4'!$I$6:$I$22,'S4'!$B$6:$B$22,$A31,'S4'!$E$6:$E$22,"Víctor")+SUMIFS('S4'!$I$6:$I$22,'S4'!$B$6:$B$22,$A31,'S4'!$E$6:$E$22,"Ambos")+SUMIFS('S5'!$I$6:$I$20,'S5'!$B$6:$B$20,$A31,'S5'!$E$6:$E$20,"Víctor")+SUMIFS('S5'!$I$6:$I$20,'S5'!$B$6:$B$20,$A31,'S5'!$E$6:$E$20,"Ambos")+SUMIFS('S6'!$I$6:$I$17,'S6'!$B$6:$B$17,$A31,'S6'!$E$6:$E$17,"Víctor")+SUMIFS('S6'!$I$6:$I$17,'S6'!$B$6:$B$17,$A31,'S6'!$E$6:$E$17,"Ambos")+SUMIFS('S7'!$I$6:$I$19,'S7'!$B$6:$B$19,$A31,'S7'!$E$6:$E$19,"Víctor")+SUMIFS('S7'!$I$6:$I$19,'S7'!$B$6:$B$19,$A31,'S7'!$E$6:$E$19,"Ambos")+SUMIFS('S8'!$I$6:$I$23,'S8'!$B$6:$B$23,$A31,'S8'!$E$6:$E$23,"Víctor")+SUMIFS('S8'!$I$6:$I$23,'S8'!$B$6:$B$23,$A31,'S8'!$E$6:$E$23,"Ambos")+SUMIFS('S9'!$I$6:$I$15,'S9'!$B$6:$B$15,$A31,'S9'!$E$6:$E$15,"Víctor")+SUMIFS('S9'!$I$6:$I$15,'S9'!$B$6:$B$15,$A31,'S9'!$E$6:$E$15,"Ambos")+SUMIFS('S10'!$I$6:$I$13,'S10'!$B$6:$B$13,$A31,'S10'!$E$6:$E$13,"Víctor")+SUMIFS('S10'!$I$6:$I$13,'S10'!$B$6:$B$13,$A31,'S10'!$E$6:$E$13,"Ambos")+SUMIFS('Holgura'!$I$6:$I$11,'Holgura'!$B$6:$B$11,$A31,'Holgura'!$E$6:$E$11,"Víctor")+SUMIFS('Holgura'!$I$6:$I$11,'Holgura'!$B$6:$B$11,$A31,'Holgura'!$E$6:$E$11,"Ambos")+SUMIFS('Entrega'!$I$6:$I$9,'Entrega'!$B$6:$B$9,$A31,'Entrega'!$E$6:$E$9,"Víctor")+SUMIFS('Entrega'!$I$6:$I$9,'Entrega'!$B$6:$B$9,$A31,'Entrega'!$E$6:$E$9,"Ambos")+SUMIFS('Defensa'!$I$6:$I$10,'Defensa'!$B$6:$B$10,$A31,'Defensa'!$E$6:$E$10,"Víctor")+SUMIFS('Defensa'!$I$6:$I$10,'Defensa'!$B$6:$B$10,$A31,'Defensa'!$E$6:$E$10,"Ambos")</f>
        <v/>
      </c>
      <c r="E31" s="21">
        <f>SUMIFS('S1'!$I$6:$I$32,'S1'!$B$6:$B$32,$A31,'S1'!$E$6:$E$32,"Diego")+SUMIFS('S1'!$I$6:$I$32,'S1'!$B$6:$B$32,$A31,'S1'!$E$6:$E$32,"Ambos")+SUMIFS('S2'!$I$6:$I$23,'S2'!$B$6:$B$23,$A31,'S2'!$E$6:$E$23,"Diego")+SUMIFS('S2'!$I$6:$I$23,'S2'!$B$6:$B$23,$A31,'S2'!$E$6:$E$23,"Ambos")+SUMIFS('S3'!$I$6:$I$24,'S3'!$B$6:$B$24,$A31,'S3'!$E$6:$E$24,"Diego")+SUMIFS('S3'!$I$6:$I$24,'S3'!$B$6:$B$24,$A31,'S3'!$E$6:$E$24,"Ambos")+SUMIFS('S4'!$I$6:$I$22,'S4'!$B$6:$B$22,$A31,'S4'!$E$6:$E$22,"Diego")+SUMIFS('S4'!$I$6:$I$22,'S4'!$B$6:$B$22,$A31,'S4'!$E$6:$E$22,"Ambos")+SUMIFS('S5'!$I$6:$I$20,'S5'!$B$6:$B$20,$A31,'S5'!$E$6:$E$20,"Diego")+SUMIFS('S5'!$I$6:$I$20,'S5'!$B$6:$B$20,$A31,'S5'!$E$6:$E$20,"Ambos")+SUMIFS('S6'!$I$6:$I$17,'S6'!$B$6:$B$17,$A31,'S6'!$E$6:$E$17,"Diego")+SUMIFS('S6'!$I$6:$I$17,'S6'!$B$6:$B$17,$A31,'S6'!$E$6:$E$17,"Ambos")+SUMIFS('S7'!$I$6:$I$19,'S7'!$B$6:$B$19,$A31,'S7'!$E$6:$E$19,"Diego")+SUMIFS('S7'!$I$6:$I$19,'S7'!$B$6:$B$19,$A31,'S7'!$E$6:$E$19,"Ambos")+SUMIFS('S8'!$I$6:$I$23,'S8'!$B$6:$B$23,$A31,'S8'!$E$6:$E$23,"Diego")+SUMIFS('S8'!$I$6:$I$23,'S8'!$B$6:$B$23,$A31,'S8'!$E$6:$E$23,"Ambos")+SUMIFS('S9'!$I$6:$I$15,'S9'!$B$6:$B$15,$A31,'S9'!$E$6:$E$15,"Diego")+SUMIFS('S9'!$I$6:$I$15,'S9'!$B$6:$B$15,$A31,'S9'!$E$6:$E$15,"Ambos")+SUMIFS('S10'!$I$6:$I$13,'S10'!$B$6:$B$13,$A31,'S10'!$E$6:$E$13,"Diego")+SUMIFS('S10'!$I$6:$I$13,'S10'!$B$6:$B$13,$A31,'S10'!$E$6:$E$13,"Ambos")+SUMIFS('Holgura'!$I$6:$I$11,'Holgura'!$B$6:$B$11,$A31,'Holgura'!$E$6:$E$11,"Diego")+SUMIFS('Holgura'!$I$6:$I$11,'Holgura'!$B$6:$B$11,$A31,'Holgura'!$E$6:$E$11,"Ambos")+SUMIFS('Entrega'!$I$6:$I$9,'Entrega'!$B$6:$B$9,$A31,'Entrega'!$E$6:$E$9,"Diego")+SUMIFS('Entrega'!$I$6:$I$9,'Entrega'!$B$6:$B$9,$A31,'Entrega'!$E$6:$E$9,"Ambos")+SUMIFS('Defensa'!$I$6:$I$10,'Defensa'!$B$6:$B$10,$A31,'Defensa'!$E$6:$E$10,"Diego")+SUMIFS('Defensa'!$I$6:$I$10,'Defensa'!$B$6:$B$10,$A31,'Defensa'!$E$6:$E$10,"Ambos")</f>
        <v/>
      </c>
      <c r="F31" s="21">
        <f>COUNTIFS('S1'!$B$6:$B$32,$A31,'S1'!$E$6:$E$32,"Víctor")+COUNTIFS('S1'!$B$6:$B$32,$A31,'S1'!$E$6:$E$32,"Ambos")+COUNTIFS('S2'!$B$6:$B$23,$A31,'S2'!$E$6:$E$23,"Víctor")+COUNTIFS('S2'!$B$6:$B$23,$A31,'S2'!$E$6:$E$23,"Ambos")+COUNTIFS('S3'!$B$6:$B$24,$A31,'S3'!$E$6:$E$24,"Víctor")+COUNTIFS('S3'!$B$6:$B$24,$A31,'S3'!$E$6:$E$24,"Ambos")+COUNTIFS('S4'!$B$6:$B$22,$A31,'S4'!$E$6:$E$22,"Víctor")+COUNTIFS('S4'!$B$6:$B$22,$A31,'S4'!$E$6:$E$22,"Ambos")+COUNTIFS('S5'!$B$6:$B$20,$A31,'S5'!$E$6:$E$20,"Víctor")+COUNTIFS('S5'!$B$6:$B$20,$A31,'S5'!$E$6:$E$20,"Ambos")+COUNTIFS('S6'!$B$6:$B$17,$A31,'S6'!$E$6:$E$17,"Víctor")+COUNTIFS('S6'!$B$6:$B$17,$A31,'S6'!$E$6:$E$17,"Ambos")+COUNTIFS('S7'!$B$6:$B$19,$A31,'S7'!$E$6:$E$19,"Víctor")+COUNTIFS('S7'!$B$6:$B$19,$A31,'S7'!$E$6:$E$19,"Ambos")+COUNTIFS('S8'!$B$6:$B$23,$A31,'S8'!$E$6:$E$23,"Víctor")+COUNTIFS('S8'!$B$6:$B$23,$A31,'S8'!$E$6:$E$23,"Ambos")+COUNTIFS('S9'!$B$6:$B$15,$A31,'S9'!$E$6:$E$15,"Víctor")+COUNTIFS('S9'!$B$6:$B$15,$A31,'S9'!$E$6:$E$15,"Ambos")+COUNTIFS('S10'!$B$6:$B$13,$A31,'S10'!$E$6:$E$13,"Víctor")+COUNTIFS('S10'!$B$6:$B$13,$A31,'S10'!$E$6:$E$13,"Ambos")+COUNTIFS('Holgura'!$B$6:$B$11,$A31,'Holgura'!$E$6:$E$11,"Víctor")+COUNTIFS('Holgura'!$B$6:$B$11,$A31,'Holgura'!$E$6:$E$11,"Ambos")+COUNTIFS('Entrega'!$B$6:$B$9,$A31,'Entrega'!$E$6:$E$9,"Víctor")+COUNTIFS('Entrega'!$B$6:$B$9,$A31,'Entrega'!$E$6:$E$9,"Ambos")+COUNTIFS('Defensa'!$B$6:$B$10,$A31,'Defensa'!$E$6:$E$10,"Víctor")+COUNTIFS('Defensa'!$B$6:$B$10,$A31,'Defensa'!$E$6:$E$10,"Ambos")</f>
        <v/>
      </c>
      <c r="G31" s="21">
        <f>COUNTIFS('S1'!$B$6:$B$32,$A31,'S1'!$E$6:$E$32,"Diego")+COUNTIFS('S1'!$B$6:$B$32,$A31,'S1'!$E$6:$E$32,"Ambos")+COUNTIFS('S2'!$B$6:$B$23,$A31,'S2'!$E$6:$E$23,"Diego")+COUNTIFS('S2'!$B$6:$B$23,$A31,'S2'!$E$6:$E$23,"Ambos")+COUNTIFS('S3'!$B$6:$B$24,$A31,'S3'!$E$6:$E$24,"Diego")+COUNTIFS('S3'!$B$6:$B$24,$A31,'S3'!$E$6:$E$24,"Ambos")+COUNTIFS('S4'!$B$6:$B$22,$A31,'S4'!$E$6:$E$22,"Diego")+COUNTIFS('S4'!$B$6:$B$22,$A31,'S4'!$E$6:$E$22,"Ambos")+COUNTIFS('S5'!$B$6:$B$20,$A31,'S5'!$E$6:$E$20,"Diego")+COUNTIFS('S5'!$B$6:$B$20,$A31,'S5'!$E$6:$E$20,"Ambos")+COUNTIFS('S6'!$B$6:$B$17,$A31,'S6'!$E$6:$E$17,"Diego")+COUNTIFS('S6'!$B$6:$B$17,$A31,'S6'!$E$6:$E$17,"Ambos")+COUNTIFS('S7'!$B$6:$B$19,$A31,'S7'!$E$6:$E$19,"Diego")+COUNTIFS('S7'!$B$6:$B$19,$A31,'S7'!$E$6:$E$19,"Ambos")+COUNTIFS('S8'!$B$6:$B$23,$A31,'S8'!$E$6:$E$23,"Diego")+COUNTIFS('S8'!$B$6:$B$23,$A31,'S8'!$E$6:$E$23,"Ambos")+COUNTIFS('S9'!$B$6:$B$15,$A31,'S9'!$E$6:$E$15,"Diego")+COUNTIFS('S9'!$B$6:$B$15,$A31,'S9'!$E$6:$E$15,"Ambos")+COUNTIFS('S10'!$B$6:$B$13,$A31,'S10'!$E$6:$E$13,"Diego")+COUNTIFS('S10'!$B$6:$B$13,$A31,'S10'!$E$6:$E$13,"Ambos")+COUNTIFS('Holgura'!$B$6:$B$11,$A31,'Holgura'!$E$6:$E$11,"Diego")+COUNTIFS('Holgura'!$B$6:$B$11,$A31,'Holgura'!$E$6:$E$11,"Ambos")+COUNTIFS('Entrega'!$B$6:$B$9,$A31,'Entrega'!$E$6:$E$9,"Diego")+COUNTIFS('Entrega'!$B$6:$B$9,$A31,'Entrega'!$E$6:$E$9,"Ambos")+COUNTIFS('Defensa'!$B$6:$B$10,$A31,'Defensa'!$E$6:$E$10,"Diego")+COUNTIFS('Defensa'!$B$6:$B$10,$A31,'Defensa'!$E$6:$E$10,"Ambos")</f>
        <v/>
      </c>
    </row>
    <row r="32">
      <c r="A32" s="25" t="n">
        <v>46334</v>
      </c>
      <c r="B32" s="26">
        <f>A32</f>
        <v/>
      </c>
      <c r="C32" s="21">
        <f>IF(WEEKDAY(A32,2)&gt;5,4,2)</f>
        <v/>
      </c>
      <c r="D32" s="21">
        <f>SUMIFS('S1'!$I$6:$I$32,'S1'!$B$6:$B$32,$A32,'S1'!$E$6:$E$32,"Víctor")+SUMIFS('S1'!$I$6:$I$32,'S1'!$B$6:$B$32,$A32,'S1'!$E$6:$E$32,"Ambos")+SUMIFS('S2'!$I$6:$I$23,'S2'!$B$6:$B$23,$A32,'S2'!$E$6:$E$23,"Víctor")+SUMIFS('S2'!$I$6:$I$23,'S2'!$B$6:$B$23,$A32,'S2'!$E$6:$E$23,"Ambos")+SUMIFS('S3'!$I$6:$I$24,'S3'!$B$6:$B$24,$A32,'S3'!$E$6:$E$24,"Víctor")+SUMIFS('S3'!$I$6:$I$24,'S3'!$B$6:$B$24,$A32,'S3'!$E$6:$E$24,"Ambos")+SUMIFS('S4'!$I$6:$I$22,'S4'!$B$6:$B$22,$A32,'S4'!$E$6:$E$22,"Víctor")+SUMIFS('S4'!$I$6:$I$22,'S4'!$B$6:$B$22,$A32,'S4'!$E$6:$E$22,"Ambos")+SUMIFS('S5'!$I$6:$I$20,'S5'!$B$6:$B$20,$A32,'S5'!$E$6:$E$20,"Víctor")+SUMIFS('S5'!$I$6:$I$20,'S5'!$B$6:$B$20,$A32,'S5'!$E$6:$E$20,"Ambos")+SUMIFS('S6'!$I$6:$I$17,'S6'!$B$6:$B$17,$A32,'S6'!$E$6:$E$17,"Víctor")+SUMIFS('S6'!$I$6:$I$17,'S6'!$B$6:$B$17,$A32,'S6'!$E$6:$E$17,"Ambos")+SUMIFS('S7'!$I$6:$I$19,'S7'!$B$6:$B$19,$A32,'S7'!$E$6:$E$19,"Víctor")+SUMIFS('S7'!$I$6:$I$19,'S7'!$B$6:$B$19,$A32,'S7'!$E$6:$E$19,"Ambos")+SUMIFS('S8'!$I$6:$I$23,'S8'!$B$6:$B$23,$A32,'S8'!$E$6:$E$23,"Víctor")+SUMIFS('S8'!$I$6:$I$23,'S8'!$B$6:$B$23,$A32,'S8'!$E$6:$E$23,"Ambos")+SUMIFS('S9'!$I$6:$I$15,'S9'!$B$6:$B$15,$A32,'S9'!$E$6:$E$15,"Víctor")+SUMIFS('S9'!$I$6:$I$15,'S9'!$B$6:$B$15,$A32,'S9'!$E$6:$E$15,"Ambos")+SUMIFS('S10'!$I$6:$I$13,'S10'!$B$6:$B$13,$A32,'S10'!$E$6:$E$13,"Víctor")+SUMIFS('S10'!$I$6:$I$13,'S10'!$B$6:$B$13,$A32,'S10'!$E$6:$E$13,"Ambos")+SUMIFS('Holgura'!$I$6:$I$11,'Holgura'!$B$6:$B$11,$A32,'Holgura'!$E$6:$E$11,"Víctor")+SUMIFS('Holgura'!$I$6:$I$11,'Holgura'!$B$6:$B$11,$A32,'Holgura'!$E$6:$E$11,"Ambos")+SUMIFS('Entrega'!$I$6:$I$9,'Entrega'!$B$6:$B$9,$A32,'Entrega'!$E$6:$E$9,"Víctor")+SUMIFS('Entrega'!$I$6:$I$9,'Entrega'!$B$6:$B$9,$A32,'Entrega'!$E$6:$E$9,"Ambos")+SUMIFS('Defensa'!$I$6:$I$10,'Defensa'!$B$6:$B$10,$A32,'Defensa'!$E$6:$E$10,"Víctor")+SUMIFS('Defensa'!$I$6:$I$10,'Defensa'!$B$6:$B$10,$A32,'Defensa'!$E$6:$E$10,"Ambos")</f>
        <v/>
      </c>
      <c r="E32" s="21">
        <f>SUMIFS('S1'!$I$6:$I$32,'S1'!$B$6:$B$32,$A32,'S1'!$E$6:$E$32,"Diego")+SUMIFS('S1'!$I$6:$I$32,'S1'!$B$6:$B$32,$A32,'S1'!$E$6:$E$32,"Ambos")+SUMIFS('S2'!$I$6:$I$23,'S2'!$B$6:$B$23,$A32,'S2'!$E$6:$E$23,"Diego")+SUMIFS('S2'!$I$6:$I$23,'S2'!$B$6:$B$23,$A32,'S2'!$E$6:$E$23,"Ambos")+SUMIFS('S3'!$I$6:$I$24,'S3'!$B$6:$B$24,$A32,'S3'!$E$6:$E$24,"Diego")+SUMIFS('S3'!$I$6:$I$24,'S3'!$B$6:$B$24,$A32,'S3'!$E$6:$E$24,"Ambos")+SUMIFS('S4'!$I$6:$I$22,'S4'!$B$6:$B$22,$A32,'S4'!$E$6:$E$22,"Diego")+SUMIFS('S4'!$I$6:$I$22,'S4'!$B$6:$B$22,$A32,'S4'!$E$6:$E$22,"Ambos")+SUMIFS('S5'!$I$6:$I$20,'S5'!$B$6:$B$20,$A32,'S5'!$E$6:$E$20,"Diego")+SUMIFS('S5'!$I$6:$I$20,'S5'!$B$6:$B$20,$A32,'S5'!$E$6:$E$20,"Ambos")+SUMIFS('S6'!$I$6:$I$17,'S6'!$B$6:$B$17,$A32,'S6'!$E$6:$E$17,"Diego")+SUMIFS('S6'!$I$6:$I$17,'S6'!$B$6:$B$17,$A32,'S6'!$E$6:$E$17,"Ambos")+SUMIFS('S7'!$I$6:$I$19,'S7'!$B$6:$B$19,$A32,'S7'!$E$6:$E$19,"Diego")+SUMIFS('S7'!$I$6:$I$19,'S7'!$B$6:$B$19,$A32,'S7'!$E$6:$E$19,"Ambos")+SUMIFS('S8'!$I$6:$I$23,'S8'!$B$6:$B$23,$A32,'S8'!$E$6:$E$23,"Diego")+SUMIFS('S8'!$I$6:$I$23,'S8'!$B$6:$B$23,$A32,'S8'!$E$6:$E$23,"Ambos")+SUMIFS('S9'!$I$6:$I$15,'S9'!$B$6:$B$15,$A32,'S9'!$E$6:$E$15,"Diego")+SUMIFS('S9'!$I$6:$I$15,'S9'!$B$6:$B$15,$A32,'S9'!$E$6:$E$15,"Ambos")+SUMIFS('S10'!$I$6:$I$13,'S10'!$B$6:$B$13,$A32,'S10'!$E$6:$E$13,"Diego")+SUMIFS('S10'!$I$6:$I$13,'S10'!$B$6:$B$13,$A32,'S10'!$E$6:$E$13,"Ambos")+SUMIFS('Holgura'!$I$6:$I$11,'Holgura'!$B$6:$B$11,$A32,'Holgura'!$E$6:$E$11,"Diego")+SUMIFS('Holgura'!$I$6:$I$11,'Holgura'!$B$6:$B$11,$A32,'Holgura'!$E$6:$E$11,"Ambos")+SUMIFS('Entrega'!$I$6:$I$9,'Entrega'!$B$6:$B$9,$A32,'Entrega'!$E$6:$E$9,"Diego")+SUMIFS('Entrega'!$I$6:$I$9,'Entrega'!$B$6:$B$9,$A32,'Entrega'!$E$6:$E$9,"Ambos")+SUMIFS('Defensa'!$I$6:$I$10,'Defensa'!$B$6:$B$10,$A32,'Defensa'!$E$6:$E$10,"Diego")+SUMIFS('Defensa'!$I$6:$I$10,'Defensa'!$B$6:$B$10,$A32,'Defensa'!$E$6:$E$10,"Ambos")</f>
        <v/>
      </c>
      <c r="F32" s="21">
        <f>COUNTIFS('S1'!$B$6:$B$32,$A32,'S1'!$E$6:$E$32,"Víctor")+COUNTIFS('S1'!$B$6:$B$32,$A32,'S1'!$E$6:$E$32,"Ambos")+COUNTIFS('S2'!$B$6:$B$23,$A32,'S2'!$E$6:$E$23,"Víctor")+COUNTIFS('S2'!$B$6:$B$23,$A32,'S2'!$E$6:$E$23,"Ambos")+COUNTIFS('S3'!$B$6:$B$24,$A32,'S3'!$E$6:$E$24,"Víctor")+COUNTIFS('S3'!$B$6:$B$24,$A32,'S3'!$E$6:$E$24,"Ambos")+COUNTIFS('S4'!$B$6:$B$22,$A32,'S4'!$E$6:$E$22,"Víctor")+COUNTIFS('S4'!$B$6:$B$22,$A32,'S4'!$E$6:$E$22,"Ambos")+COUNTIFS('S5'!$B$6:$B$20,$A32,'S5'!$E$6:$E$20,"Víctor")+COUNTIFS('S5'!$B$6:$B$20,$A32,'S5'!$E$6:$E$20,"Ambos")+COUNTIFS('S6'!$B$6:$B$17,$A32,'S6'!$E$6:$E$17,"Víctor")+COUNTIFS('S6'!$B$6:$B$17,$A32,'S6'!$E$6:$E$17,"Ambos")+COUNTIFS('S7'!$B$6:$B$19,$A32,'S7'!$E$6:$E$19,"Víctor")+COUNTIFS('S7'!$B$6:$B$19,$A32,'S7'!$E$6:$E$19,"Ambos")+COUNTIFS('S8'!$B$6:$B$23,$A32,'S8'!$E$6:$E$23,"Víctor")+COUNTIFS('S8'!$B$6:$B$23,$A32,'S8'!$E$6:$E$23,"Ambos")+COUNTIFS('S9'!$B$6:$B$15,$A32,'S9'!$E$6:$E$15,"Víctor")+COUNTIFS('S9'!$B$6:$B$15,$A32,'S9'!$E$6:$E$15,"Ambos")+COUNTIFS('S10'!$B$6:$B$13,$A32,'S10'!$E$6:$E$13,"Víctor")+COUNTIFS('S10'!$B$6:$B$13,$A32,'S10'!$E$6:$E$13,"Ambos")+COUNTIFS('Holgura'!$B$6:$B$11,$A32,'Holgura'!$E$6:$E$11,"Víctor")+COUNTIFS('Holgura'!$B$6:$B$11,$A32,'Holgura'!$E$6:$E$11,"Ambos")+COUNTIFS('Entrega'!$B$6:$B$9,$A32,'Entrega'!$E$6:$E$9,"Víctor")+COUNTIFS('Entrega'!$B$6:$B$9,$A32,'Entrega'!$E$6:$E$9,"Ambos")+COUNTIFS('Defensa'!$B$6:$B$10,$A32,'Defensa'!$E$6:$E$10,"Víctor")+COUNTIFS('Defensa'!$B$6:$B$10,$A32,'Defensa'!$E$6:$E$10,"Ambos")</f>
        <v/>
      </c>
      <c r="G32" s="21">
        <f>COUNTIFS('S1'!$B$6:$B$32,$A32,'S1'!$E$6:$E$32,"Diego")+COUNTIFS('S1'!$B$6:$B$32,$A32,'S1'!$E$6:$E$32,"Ambos")+COUNTIFS('S2'!$B$6:$B$23,$A32,'S2'!$E$6:$E$23,"Diego")+COUNTIFS('S2'!$B$6:$B$23,$A32,'S2'!$E$6:$E$23,"Ambos")+COUNTIFS('S3'!$B$6:$B$24,$A32,'S3'!$E$6:$E$24,"Diego")+COUNTIFS('S3'!$B$6:$B$24,$A32,'S3'!$E$6:$E$24,"Ambos")+COUNTIFS('S4'!$B$6:$B$22,$A32,'S4'!$E$6:$E$22,"Diego")+COUNTIFS('S4'!$B$6:$B$22,$A32,'S4'!$E$6:$E$22,"Ambos")+COUNTIFS('S5'!$B$6:$B$20,$A32,'S5'!$E$6:$E$20,"Diego")+COUNTIFS('S5'!$B$6:$B$20,$A32,'S5'!$E$6:$E$20,"Ambos")+COUNTIFS('S6'!$B$6:$B$17,$A32,'S6'!$E$6:$E$17,"Diego")+COUNTIFS('S6'!$B$6:$B$17,$A32,'S6'!$E$6:$E$17,"Ambos")+COUNTIFS('S7'!$B$6:$B$19,$A32,'S7'!$E$6:$E$19,"Diego")+COUNTIFS('S7'!$B$6:$B$19,$A32,'S7'!$E$6:$E$19,"Ambos")+COUNTIFS('S8'!$B$6:$B$23,$A32,'S8'!$E$6:$E$23,"Diego")+COUNTIFS('S8'!$B$6:$B$23,$A32,'S8'!$E$6:$E$23,"Ambos")+COUNTIFS('S9'!$B$6:$B$15,$A32,'S9'!$E$6:$E$15,"Diego")+COUNTIFS('S9'!$B$6:$B$15,$A32,'S9'!$E$6:$E$15,"Ambos")+COUNTIFS('S10'!$B$6:$B$13,$A32,'S10'!$E$6:$E$13,"Diego")+COUNTIFS('S10'!$B$6:$B$13,$A32,'S10'!$E$6:$E$13,"Ambos")+COUNTIFS('Holgura'!$B$6:$B$11,$A32,'Holgura'!$E$6:$E$11,"Diego")+COUNTIFS('Holgura'!$B$6:$B$11,$A32,'Holgura'!$E$6:$E$11,"Ambos")+COUNTIFS('Entrega'!$B$6:$B$9,$A32,'Entrega'!$E$6:$E$9,"Diego")+COUNTIFS('Entrega'!$B$6:$B$9,$A32,'Entrega'!$E$6:$E$9,"Ambos")+COUNTIFS('Defensa'!$B$6:$B$10,$A32,'Defensa'!$E$6:$E$10,"Diego")+COUNTIFS('Defensa'!$B$6:$B$10,$A32,'Defensa'!$E$6:$E$10,"Ambos")</f>
        <v/>
      </c>
    </row>
    <row r="33">
      <c r="A33" s="25" t="n">
        <v>46335</v>
      </c>
      <c r="B33" s="26">
        <f>A33</f>
        <v/>
      </c>
      <c r="C33" s="21">
        <f>IF(WEEKDAY(A33,2)&gt;5,4,2)</f>
        <v/>
      </c>
      <c r="D33" s="21">
        <f>SUMIFS('S1'!$I$6:$I$32,'S1'!$B$6:$B$32,$A33,'S1'!$E$6:$E$32,"Víctor")+SUMIFS('S1'!$I$6:$I$32,'S1'!$B$6:$B$32,$A33,'S1'!$E$6:$E$32,"Ambos")+SUMIFS('S2'!$I$6:$I$23,'S2'!$B$6:$B$23,$A33,'S2'!$E$6:$E$23,"Víctor")+SUMIFS('S2'!$I$6:$I$23,'S2'!$B$6:$B$23,$A33,'S2'!$E$6:$E$23,"Ambos")+SUMIFS('S3'!$I$6:$I$24,'S3'!$B$6:$B$24,$A33,'S3'!$E$6:$E$24,"Víctor")+SUMIFS('S3'!$I$6:$I$24,'S3'!$B$6:$B$24,$A33,'S3'!$E$6:$E$24,"Ambos")+SUMIFS('S4'!$I$6:$I$22,'S4'!$B$6:$B$22,$A33,'S4'!$E$6:$E$22,"Víctor")+SUMIFS('S4'!$I$6:$I$22,'S4'!$B$6:$B$22,$A33,'S4'!$E$6:$E$22,"Ambos")+SUMIFS('S5'!$I$6:$I$20,'S5'!$B$6:$B$20,$A33,'S5'!$E$6:$E$20,"Víctor")+SUMIFS('S5'!$I$6:$I$20,'S5'!$B$6:$B$20,$A33,'S5'!$E$6:$E$20,"Ambos")+SUMIFS('S6'!$I$6:$I$17,'S6'!$B$6:$B$17,$A33,'S6'!$E$6:$E$17,"Víctor")+SUMIFS('S6'!$I$6:$I$17,'S6'!$B$6:$B$17,$A33,'S6'!$E$6:$E$17,"Ambos")+SUMIFS('S7'!$I$6:$I$19,'S7'!$B$6:$B$19,$A33,'S7'!$E$6:$E$19,"Víctor")+SUMIFS('S7'!$I$6:$I$19,'S7'!$B$6:$B$19,$A33,'S7'!$E$6:$E$19,"Ambos")+SUMIFS('S8'!$I$6:$I$23,'S8'!$B$6:$B$23,$A33,'S8'!$E$6:$E$23,"Víctor")+SUMIFS('S8'!$I$6:$I$23,'S8'!$B$6:$B$23,$A33,'S8'!$E$6:$E$23,"Ambos")+SUMIFS('S9'!$I$6:$I$15,'S9'!$B$6:$B$15,$A33,'S9'!$E$6:$E$15,"Víctor")+SUMIFS('S9'!$I$6:$I$15,'S9'!$B$6:$B$15,$A33,'S9'!$E$6:$E$15,"Ambos")+SUMIFS('S10'!$I$6:$I$13,'S10'!$B$6:$B$13,$A33,'S10'!$E$6:$E$13,"Víctor")+SUMIFS('S10'!$I$6:$I$13,'S10'!$B$6:$B$13,$A33,'S10'!$E$6:$E$13,"Ambos")+SUMIFS('Holgura'!$I$6:$I$11,'Holgura'!$B$6:$B$11,$A33,'Holgura'!$E$6:$E$11,"Víctor")+SUMIFS('Holgura'!$I$6:$I$11,'Holgura'!$B$6:$B$11,$A33,'Holgura'!$E$6:$E$11,"Ambos")+SUMIFS('Entrega'!$I$6:$I$9,'Entrega'!$B$6:$B$9,$A33,'Entrega'!$E$6:$E$9,"Víctor")+SUMIFS('Entrega'!$I$6:$I$9,'Entrega'!$B$6:$B$9,$A33,'Entrega'!$E$6:$E$9,"Ambos")+SUMIFS('Defensa'!$I$6:$I$10,'Defensa'!$B$6:$B$10,$A33,'Defensa'!$E$6:$E$10,"Víctor")+SUMIFS('Defensa'!$I$6:$I$10,'Defensa'!$B$6:$B$10,$A33,'Defensa'!$E$6:$E$10,"Ambos")</f>
        <v/>
      </c>
      <c r="E33" s="21">
        <f>SUMIFS('S1'!$I$6:$I$32,'S1'!$B$6:$B$32,$A33,'S1'!$E$6:$E$32,"Diego")+SUMIFS('S1'!$I$6:$I$32,'S1'!$B$6:$B$32,$A33,'S1'!$E$6:$E$32,"Ambos")+SUMIFS('S2'!$I$6:$I$23,'S2'!$B$6:$B$23,$A33,'S2'!$E$6:$E$23,"Diego")+SUMIFS('S2'!$I$6:$I$23,'S2'!$B$6:$B$23,$A33,'S2'!$E$6:$E$23,"Ambos")+SUMIFS('S3'!$I$6:$I$24,'S3'!$B$6:$B$24,$A33,'S3'!$E$6:$E$24,"Diego")+SUMIFS('S3'!$I$6:$I$24,'S3'!$B$6:$B$24,$A33,'S3'!$E$6:$E$24,"Ambos")+SUMIFS('S4'!$I$6:$I$22,'S4'!$B$6:$B$22,$A33,'S4'!$E$6:$E$22,"Diego")+SUMIFS('S4'!$I$6:$I$22,'S4'!$B$6:$B$22,$A33,'S4'!$E$6:$E$22,"Ambos")+SUMIFS('S5'!$I$6:$I$20,'S5'!$B$6:$B$20,$A33,'S5'!$E$6:$E$20,"Diego")+SUMIFS('S5'!$I$6:$I$20,'S5'!$B$6:$B$20,$A33,'S5'!$E$6:$E$20,"Ambos")+SUMIFS('S6'!$I$6:$I$17,'S6'!$B$6:$B$17,$A33,'S6'!$E$6:$E$17,"Diego")+SUMIFS('S6'!$I$6:$I$17,'S6'!$B$6:$B$17,$A33,'S6'!$E$6:$E$17,"Ambos")+SUMIFS('S7'!$I$6:$I$19,'S7'!$B$6:$B$19,$A33,'S7'!$E$6:$E$19,"Diego")+SUMIFS('S7'!$I$6:$I$19,'S7'!$B$6:$B$19,$A33,'S7'!$E$6:$E$19,"Ambos")+SUMIFS('S8'!$I$6:$I$23,'S8'!$B$6:$B$23,$A33,'S8'!$E$6:$E$23,"Diego")+SUMIFS('S8'!$I$6:$I$23,'S8'!$B$6:$B$23,$A33,'S8'!$E$6:$E$23,"Ambos")+SUMIFS('S9'!$I$6:$I$15,'S9'!$B$6:$B$15,$A33,'S9'!$E$6:$E$15,"Diego")+SUMIFS('S9'!$I$6:$I$15,'S9'!$B$6:$B$15,$A33,'S9'!$E$6:$E$15,"Ambos")+SUMIFS('S10'!$I$6:$I$13,'S10'!$B$6:$B$13,$A33,'S10'!$E$6:$E$13,"Diego")+SUMIFS('S10'!$I$6:$I$13,'S10'!$B$6:$B$13,$A33,'S10'!$E$6:$E$13,"Ambos")+SUMIFS('Holgura'!$I$6:$I$11,'Holgura'!$B$6:$B$11,$A33,'Holgura'!$E$6:$E$11,"Diego")+SUMIFS('Holgura'!$I$6:$I$11,'Holgura'!$B$6:$B$11,$A33,'Holgura'!$E$6:$E$11,"Ambos")+SUMIFS('Entrega'!$I$6:$I$9,'Entrega'!$B$6:$B$9,$A33,'Entrega'!$E$6:$E$9,"Diego")+SUMIFS('Entrega'!$I$6:$I$9,'Entrega'!$B$6:$B$9,$A33,'Entrega'!$E$6:$E$9,"Ambos")+SUMIFS('Defensa'!$I$6:$I$10,'Defensa'!$B$6:$B$10,$A33,'Defensa'!$E$6:$E$10,"Diego")+SUMIFS('Defensa'!$I$6:$I$10,'Defensa'!$B$6:$B$10,$A33,'Defensa'!$E$6:$E$10,"Ambos")</f>
        <v/>
      </c>
      <c r="F33" s="21">
        <f>COUNTIFS('S1'!$B$6:$B$32,$A33,'S1'!$E$6:$E$32,"Víctor")+COUNTIFS('S1'!$B$6:$B$32,$A33,'S1'!$E$6:$E$32,"Ambos")+COUNTIFS('S2'!$B$6:$B$23,$A33,'S2'!$E$6:$E$23,"Víctor")+COUNTIFS('S2'!$B$6:$B$23,$A33,'S2'!$E$6:$E$23,"Ambos")+COUNTIFS('S3'!$B$6:$B$24,$A33,'S3'!$E$6:$E$24,"Víctor")+COUNTIFS('S3'!$B$6:$B$24,$A33,'S3'!$E$6:$E$24,"Ambos")+COUNTIFS('S4'!$B$6:$B$22,$A33,'S4'!$E$6:$E$22,"Víctor")+COUNTIFS('S4'!$B$6:$B$22,$A33,'S4'!$E$6:$E$22,"Ambos")+COUNTIFS('S5'!$B$6:$B$20,$A33,'S5'!$E$6:$E$20,"Víctor")+COUNTIFS('S5'!$B$6:$B$20,$A33,'S5'!$E$6:$E$20,"Ambos")+COUNTIFS('S6'!$B$6:$B$17,$A33,'S6'!$E$6:$E$17,"Víctor")+COUNTIFS('S6'!$B$6:$B$17,$A33,'S6'!$E$6:$E$17,"Ambos")+COUNTIFS('S7'!$B$6:$B$19,$A33,'S7'!$E$6:$E$19,"Víctor")+COUNTIFS('S7'!$B$6:$B$19,$A33,'S7'!$E$6:$E$19,"Ambos")+COUNTIFS('S8'!$B$6:$B$23,$A33,'S8'!$E$6:$E$23,"Víctor")+COUNTIFS('S8'!$B$6:$B$23,$A33,'S8'!$E$6:$E$23,"Ambos")+COUNTIFS('S9'!$B$6:$B$15,$A33,'S9'!$E$6:$E$15,"Víctor")+COUNTIFS('S9'!$B$6:$B$15,$A33,'S9'!$E$6:$E$15,"Ambos")+COUNTIFS('S10'!$B$6:$B$13,$A33,'S10'!$E$6:$E$13,"Víctor")+COUNTIFS('S10'!$B$6:$B$13,$A33,'S10'!$E$6:$E$13,"Ambos")+COUNTIFS('Holgura'!$B$6:$B$11,$A33,'Holgura'!$E$6:$E$11,"Víctor")+COUNTIFS('Holgura'!$B$6:$B$11,$A33,'Holgura'!$E$6:$E$11,"Ambos")+COUNTIFS('Entrega'!$B$6:$B$9,$A33,'Entrega'!$E$6:$E$9,"Víctor")+COUNTIFS('Entrega'!$B$6:$B$9,$A33,'Entrega'!$E$6:$E$9,"Ambos")+COUNTIFS('Defensa'!$B$6:$B$10,$A33,'Defensa'!$E$6:$E$10,"Víctor")+COUNTIFS('Defensa'!$B$6:$B$10,$A33,'Defensa'!$E$6:$E$10,"Ambos")</f>
        <v/>
      </c>
      <c r="G33" s="21">
        <f>COUNTIFS('S1'!$B$6:$B$32,$A33,'S1'!$E$6:$E$32,"Diego")+COUNTIFS('S1'!$B$6:$B$32,$A33,'S1'!$E$6:$E$32,"Ambos")+COUNTIFS('S2'!$B$6:$B$23,$A33,'S2'!$E$6:$E$23,"Diego")+COUNTIFS('S2'!$B$6:$B$23,$A33,'S2'!$E$6:$E$23,"Ambos")+COUNTIFS('S3'!$B$6:$B$24,$A33,'S3'!$E$6:$E$24,"Diego")+COUNTIFS('S3'!$B$6:$B$24,$A33,'S3'!$E$6:$E$24,"Ambos")+COUNTIFS('S4'!$B$6:$B$22,$A33,'S4'!$E$6:$E$22,"Diego")+COUNTIFS('S4'!$B$6:$B$22,$A33,'S4'!$E$6:$E$22,"Ambos")+COUNTIFS('S5'!$B$6:$B$20,$A33,'S5'!$E$6:$E$20,"Diego")+COUNTIFS('S5'!$B$6:$B$20,$A33,'S5'!$E$6:$E$20,"Ambos")+COUNTIFS('S6'!$B$6:$B$17,$A33,'S6'!$E$6:$E$17,"Diego")+COUNTIFS('S6'!$B$6:$B$17,$A33,'S6'!$E$6:$E$17,"Ambos")+COUNTIFS('S7'!$B$6:$B$19,$A33,'S7'!$E$6:$E$19,"Diego")+COUNTIFS('S7'!$B$6:$B$19,$A33,'S7'!$E$6:$E$19,"Ambos")+COUNTIFS('S8'!$B$6:$B$23,$A33,'S8'!$E$6:$E$23,"Diego")+COUNTIFS('S8'!$B$6:$B$23,$A33,'S8'!$E$6:$E$23,"Ambos")+COUNTIFS('S9'!$B$6:$B$15,$A33,'S9'!$E$6:$E$15,"Diego")+COUNTIFS('S9'!$B$6:$B$15,$A33,'S9'!$E$6:$E$15,"Ambos")+COUNTIFS('S10'!$B$6:$B$13,$A33,'S10'!$E$6:$E$13,"Diego")+COUNTIFS('S10'!$B$6:$B$13,$A33,'S10'!$E$6:$E$13,"Ambos")+COUNTIFS('Holgura'!$B$6:$B$11,$A33,'Holgura'!$E$6:$E$11,"Diego")+COUNTIFS('Holgura'!$B$6:$B$11,$A33,'Holgura'!$E$6:$E$11,"Ambos")+COUNTIFS('Entrega'!$B$6:$B$9,$A33,'Entrega'!$E$6:$E$9,"Diego")+COUNTIFS('Entrega'!$B$6:$B$9,$A33,'Entrega'!$E$6:$E$9,"Ambos")+COUNTIFS('Defensa'!$B$6:$B$10,$A33,'Defensa'!$E$6:$E$10,"Diego")+COUNTIFS('Defensa'!$B$6:$B$10,$A33,'Defensa'!$E$6:$E$10,"Ambos")</f>
        <v/>
      </c>
    </row>
    <row r="34">
      <c r="A34" s="25" t="n">
        <v>46336</v>
      </c>
      <c r="B34" s="26">
        <f>A34</f>
        <v/>
      </c>
      <c r="C34" s="21">
        <f>IF(WEEKDAY(A34,2)&gt;5,4,2)</f>
        <v/>
      </c>
      <c r="D34" s="21">
        <f>SUMIFS('S1'!$I$6:$I$32,'S1'!$B$6:$B$32,$A34,'S1'!$E$6:$E$32,"Víctor")+SUMIFS('S1'!$I$6:$I$32,'S1'!$B$6:$B$32,$A34,'S1'!$E$6:$E$32,"Ambos")+SUMIFS('S2'!$I$6:$I$23,'S2'!$B$6:$B$23,$A34,'S2'!$E$6:$E$23,"Víctor")+SUMIFS('S2'!$I$6:$I$23,'S2'!$B$6:$B$23,$A34,'S2'!$E$6:$E$23,"Ambos")+SUMIFS('S3'!$I$6:$I$24,'S3'!$B$6:$B$24,$A34,'S3'!$E$6:$E$24,"Víctor")+SUMIFS('S3'!$I$6:$I$24,'S3'!$B$6:$B$24,$A34,'S3'!$E$6:$E$24,"Ambos")+SUMIFS('S4'!$I$6:$I$22,'S4'!$B$6:$B$22,$A34,'S4'!$E$6:$E$22,"Víctor")+SUMIFS('S4'!$I$6:$I$22,'S4'!$B$6:$B$22,$A34,'S4'!$E$6:$E$22,"Ambos")+SUMIFS('S5'!$I$6:$I$20,'S5'!$B$6:$B$20,$A34,'S5'!$E$6:$E$20,"Víctor")+SUMIFS('S5'!$I$6:$I$20,'S5'!$B$6:$B$20,$A34,'S5'!$E$6:$E$20,"Ambos")+SUMIFS('S6'!$I$6:$I$17,'S6'!$B$6:$B$17,$A34,'S6'!$E$6:$E$17,"Víctor")+SUMIFS('S6'!$I$6:$I$17,'S6'!$B$6:$B$17,$A34,'S6'!$E$6:$E$17,"Ambos")+SUMIFS('S7'!$I$6:$I$19,'S7'!$B$6:$B$19,$A34,'S7'!$E$6:$E$19,"Víctor")+SUMIFS('S7'!$I$6:$I$19,'S7'!$B$6:$B$19,$A34,'S7'!$E$6:$E$19,"Ambos")+SUMIFS('S8'!$I$6:$I$23,'S8'!$B$6:$B$23,$A34,'S8'!$E$6:$E$23,"Víctor")+SUMIFS('S8'!$I$6:$I$23,'S8'!$B$6:$B$23,$A34,'S8'!$E$6:$E$23,"Ambos")+SUMIFS('S9'!$I$6:$I$15,'S9'!$B$6:$B$15,$A34,'S9'!$E$6:$E$15,"Víctor")+SUMIFS('S9'!$I$6:$I$15,'S9'!$B$6:$B$15,$A34,'S9'!$E$6:$E$15,"Ambos")+SUMIFS('S10'!$I$6:$I$13,'S10'!$B$6:$B$13,$A34,'S10'!$E$6:$E$13,"Víctor")+SUMIFS('S10'!$I$6:$I$13,'S10'!$B$6:$B$13,$A34,'S10'!$E$6:$E$13,"Ambos")+SUMIFS('Holgura'!$I$6:$I$11,'Holgura'!$B$6:$B$11,$A34,'Holgura'!$E$6:$E$11,"Víctor")+SUMIFS('Holgura'!$I$6:$I$11,'Holgura'!$B$6:$B$11,$A34,'Holgura'!$E$6:$E$11,"Ambos")+SUMIFS('Entrega'!$I$6:$I$9,'Entrega'!$B$6:$B$9,$A34,'Entrega'!$E$6:$E$9,"Víctor")+SUMIFS('Entrega'!$I$6:$I$9,'Entrega'!$B$6:$B$9,$A34,'Entrega'!$E$6:$E$9,"Ambos")+SUMIFS('Defensa'!$I$6:$I$10,'Defensa'!$B$6:$B$10,$A34,'Defensa'!$E$6:$E$10,"Víctor")+SUMIFS('Defensa'!$I$6:$I$10,'Defensa'!$B$6:$B$10,$A34,'Defensa'!$E$6:$E$10,"Ambos")</f>
        <v/>
      </c>
      <c r="E34" s="21">
        <f>SUMIFS('S1'!$I$6:$I$32,'S1'!$B$6:$B$32,$A34,'S1'!$E$6:$E$32,"Diego")+SUMIFS('S1'!$I$6:$I$32,'S1'!$B$6:$B$32,$A34,'S1'!$E$6:$E$32,"Ambos")+SUMIFS('S2'!$I$6:$I$23,'S2'!$B$6:$B$23,$A34,'S2'!$E$6:$E$23,"Diego")+SUMIFS('S2'!$I$6:$I$23,'S2'!$B$6:$B$23,$A34,'S2'!$E$6:$E$23,"Ambos")+SUMIFS('S3'!$I$6:$I$24,'S3'!$B$6:$B$24,$A34,'S3'!$E$6:$E$24,"Diego")+SUMIFS('S3'!$I$6:$I$24,'S3'!$B$6:$B$24,$A34,'S3'!$E$6:$E$24,"Ambos")+SUMIFS('S4'!$I$6:$I$22,'S4'!$B$6:$B$22,$A34,'S4'!$E$6:$E$22,"Diego")+SUMIFS('S4'!$I$6:$I$22,'S4'!$B$6:$B$22,$A34,'S4'!$E$6:$E$22,"Ambos")+SUMIFS('S5'!$I$6:$I$20,'S5'!$B$6:$B$20,$A34,'S5'!$E$6:$E$20,"Diego")+SUMIFS('S5'!$I$6:$I$20,'S5'!$B$6:$B$20,$A34,'S5'!$E$6:$E$20,"Ambos")+SUMIFS('S6'!$I$6:$I$17,'S6'!$B$6:$B$17,$A34,'S6'!$E$6:$E$17,"Diego")+SUMIFS('S6'!$I$6:$I$17,'S6'!$B$6:$B$17,$A34,'S6'!$E$6:$E$17,"Ambos")+SUMIFS('S7'!$I$6:$I$19,'S7'!$B$6:$B$19,$A34,'S7'!$E$6:$E$19,"Diego")+SUMIFS('S7'!$I$6:$I$19,'S7'!$B$6:$B$19,$A34,'S7'!$E$6:$E$19,"Ambos")+SUMIFS('S8'!$I$6:$I$23,'S8'!$B$6:$B$23,$A34,'S8'!$E$6:$E$23,"Diego")+SUMIFS('S8'!$I$6:$I$23,'S8'!$B$6:$B$23,$A34,'S8'!$E$6:$E$23,"Ambos")+SUMIFS('S9'!$I$6:$I$15,'S9'!$B$6:$B$15,$A34,'S9'!$E$6:$E$15,"Diego")+SUMIFS('S9'!$I$6:$I$15,'S9'!$B$6:$B$15,$A34,'S9'!$E$6:$E$15,"Ambos")+SUMIFS('S10'!$I$6:$I$13,'S10'!$B$6:$B$13,$A34,'S10'!$E$6:$E$13,"Diego")+SUMIFS('S10'!$I$6:$I$13,'S10'!$B$6:$B$13,$A34,'S10'!$E$6:$E$13,"Ambos")+SUMIFS('Holgura'!$I$6:$I$11,'Holgura'!$B$6:$B$11,$A34,'Holgura'!$E$6:$E$11,"Diego")+SUMIFS('Holgura'!$I$6:$I$11,'Holgura'!$B$6:$B$11,$A34,'Holgura'!$E$6:$E$11,"Ambos")+SUMIFS('Entrega'!$I$6:$I$9,'Entrega'!$B$6:$B$9,$A34,'Entrega'!$E$6:$E$9,"Diego")+SUMIFS('Entrega'!$I$6:$I$9,'Entrega'!$B$6:$B$9,$A34,'Entrega'!$E$6:$E$9,"Ambos")+SUMIFS('Defensa'!$I$6:$I$10,'Defensa'!$B$6:$B$10,$A34,'Defensa'!$E$6:$E$10,"Diego")+SUMIFS('Defensa'!$I$6:$I$10,'Defensa'!$B$6:$B$10,$A34,'Defensa'!$E$6:$E$10,"Ambos")</f>
        <v/>
      </c>
      <c r="F34" s="21">
        <f>COUNTIFS('S1'!$B$6:$B$32,$A34,'S1'!$E$6:$E$32,"Víctor")+COUNTIFS('S1'!$B$6:$B$32,$A34,'S1'!$E$6:$E$32,"Ambos")+COUNTIFS('S2'!$B$6:$B$23,$A34,'S2'!$E$6:$E$23,"Víctor")+COUNTIFS('S2'!$B$6:$B$23,$A34,'S2'!$E$6:$E$23,"Ambos")+COUNTIFS('S3'!$B$6:$B$24,$A34,'S3'!$E$6:$E$24,"Víctor")+COUNTIFS('S3'!$B$6:$B$24,$A34,'S3'!$E$6:$E$24,"Ambos")+COUNTIFS('S4'!$B$6:$B$22,$A34,'S4'!$E$6:$E$22,"Víctor")+COUNTIFS('S4'!$B$6:$B$22,$A34,'S4'!$E$6:$E$22,"Ambos")+COUNTIFS('S5'!$B$6:$B$20,$A34,'S5'!$E$6:$E$20,"Víctor")+COUNTIFS('S5'!$B$6:$B$20,$A34,'S5'!$E$6:$E$20,"Ambos")+COUNTIFS('S6'!$B$6:$B$17,$A34,'S6'!$E$6:$E$17,"Víctor")+COUNTIFS('S6'!$B$6:$B$17,$A34,'S6'!$E$6:$E$17,"Ambos")+COUNTIFS('S7'!$B$6:$B$19,$A34,'S7'!$E$6:$E$19,"Víctor")+COUNTIFS('S7'!$B$6:$B$19,$A34,'S7'!$E$6:$E$19,"Ambos")+COUNTIFS('S8'!$B$6:$B$23,$A34,'S8'!$E$6:$E$23,"Víctor")+COUNTIFS('S8'!$B$6:$B$23,$A34,'S8'!$E$6:$E$23,"Ambos")+COUNTIFS('S9'!$B$6:$B$15,$A34,'S9'!$E$6:$E$15,"Víctor")+COUNTIFS('S9'!$B$6:$B$15,$A34,'S9'!$E$6:$E$15,"Ambos")+COUNTIFS('S10'!$B$6:$B$13,$A34,'S10'!$E$6:$E$13,"Víctor")+COUNTIFS('S10'!$B$6:$B$13,$A34,'S10'!$E$6:$E$13,"Ambos")+COUNTIFS('Holgura'!$B$6:$B$11,$A34,'Holgura'!$E$6:$E$11,"Víctor")+COUNTIFS('Holgura'!$B$6:$B$11,$A34,'Holgura'!$E$6:$E$11,"Ambos")+COUNTIFS('Entrega'!$B$6:$B$9,$A34,'Entrega'!$E$6:$E$9,"Víctor")+COUNTIFS('Entrega'!$B$6:$B$9,$A34,'Entrega'!$E$6:$E$9,"Ambos")+COUNTIFS('Defensa'!$B$6:$B$10,$A34,'Defensa'!$E$6:$E$10,"Víctor")+COUNTIFS('Defensa'!$B$6:$B$10,$A34,'Defensa'!$E$6:$E$10,"Ambos")</f>
        <v/>
      </c>
      <c r="G34" s="21">
        <f>COUNTIFS('S1'!$B$6:$B$32,$A34,'S1'!$E$6:$E$32,"Diego")+COUNTIFS('S1'!$B$6:$B$32,$A34,'S1'!$E$6:$E$32,"Ambos")+COUNTIFS('S2'!$B$6:$B$23,$A34,'S2'!$E$6:$E$23,"Diego")+COUNTIFS('S2'!$B$6:$B$23,$A34,'S2'!$E$6:$E$23,"Ambos")+COUNTIFS('S3'!$B$6:$B$24,$A34,'S3'!$E$6:$E$24,"Diego")+COUNTIFS('S3'!$B$6:$B$24,$A34,'S3'!$E$6:$E$24,"Ambos")+COUNTIFS('S4'!$B$6:$B$22,$A34,'S4'!$E$6:$E$22,"Diego")+COUNTIFS('S4'!$B$6:$B$22,$A34,'S4'!$E$6:$E$22,"Ambos")+COUNTIFS('S5'!$B$6:$B$20,$A34,'S5'!$E$6:$E$20,"Diego")+COUNTIFS('S5'!$B$6:$B$20,$A34,'S5'!$E$6:$E$20,"Ambos")+COUNTIFS('S6'!$B$6:$B$17,$A34,'S6'!$E$6:$E$17,"Diego")+COUNTIFS('S6'!$B$6:$B$17,$A34,'S6'!$E$6:$E$17,"Ambos")+COUNTIFS('S7'!$B$6:$B$19,$A34,'S7'!$E$6:$E$19,"Diego")+COUNTIFS('S7'!$B$6:$B$19,$A34,'S7'!$E$6:$E$19,"Ambos")+COUNTIFS('S8'!$B$6:$B$23,$A34,'S8'!$E$6:$E$23,"Diego")+COUNTIFS('S8'!$B$6:$B$23,$A34,'S8'!$E$6:$E$23,"Ambos")+COUNTIFS('S9'!$B$6:$B$15,$A34,'S9'!$E$6:$E$15,"Diego")+COUNTIFS('S9'!$B$6:$B$15,$A34,'S9'!$E$6:$E$15,"Ambos")+COUNTIFS('S10'!$B$6:$B$13,$A34,'S10'!$E$6:$E$13,"Diego")+COUNTIFS('S10'!$B$6:$B$13,$A34,'S10'!$E$6:$E$13,"Ambos")+COUNTIFS('Holgura'!$B$6:$B$11,$A34,'Holgura'!$E$6:$E$11,"Diego")+COUNTIFS('Holgura'!$B$6:$B$11,$A34,'Holgura'!$E$6:$E$11,"Ambos")+COUNTIFS('Entrega'!$B$6:$B$9,$A34,'Entrega'!$E$6:$E$9,"Diego")+COUNTIFS('Entrega'!$B$6:$B$9,$A34,'Entrega'!$E$6:$E$9,"Ambos")+COUNTIFS('Defensa'!$B$6:$B$10,$A34,'Defensa'!$E$6:$E$10,"Diego")+COUNTIFS('Defensa'!$B$6:$B$10,$A34,'Defensa'!$E$6:$E$10,"Ambos")</f>
        <v/>
      </c>
    </row>
    <row r="35">
      <c r="A35" s="25" t="n">
        <v>46337</v>
      </c>
      <c r="B35" s="26">
        <f>A35</f>
        <v/>
      </c>
      <c r="C35" s="21">
        <f>IF(WEEKDAY(A35,2)&gt;5,4,2)</f>
        <v/>
      </c>
      <c r="D35" s="21">
        <f>SUMIFS('S1'!$I$6:$I$32,'S1'!$B$6:$B$32,$A35,'S1'!$E$6:$E$32,"Víctor")+SUMIFS('S1'!$I$6:$I$32,'S1'!$B$6:$B$32,$A35,'S1'!$E$6:$E$32,"Ambos")+SUMIFS('S2'!$I$6:$I$23,'S2'!$B$6:$B$23,$A35,'S2'!$E$6:$E$23,"Víctor")+SUMIFS('S2'!$I$6:$I$23,'S2'!$B$6:$B$23,$A35,'S2'!$E$6:$E$23,"Ambos")+SUMIFS('S3'!$I$6:$I$24,'S3'!$B$6:$B$24,$A35,'S3'!$E$6:$E$24,"Víctor")+SUMIFS('S3'!$I$6:$I$24,'S3'!$B$6:$B$24,$A35,'S3'!$E$6:$E$24,"Ambos")+SUMIFS('S4'!$I$6:$I$22,'S4'!$B$6:$B$22,$A35,'S4'!$E$6:$E$22,"Víctor")+SUMIFS('S4'!$I$6:$I$22,'S4'!$B$6:$B$22,$A35,'S4'!$E$6:$E$22,"Ambos")+SUMIFS('S5'!$I$6:$I$20,'S5'!$B$6:$B$20,$A35,'S5'!$E$6:$E$20,"Víctor")+SUMIFS('S5'!$I$6:$I$20,'S5'!$B$6:$B$20,$A35,'S5'!$E$6:$E$20,"Ambos")+SUMIFS('S6'!$I$6:$I$17,'S6'!$B$6:$B$17,$A35,'S6'!$E$6:$E$17,"Víctor")+SUMIFS('S6'!$I$6:$I$17,'S6'!$B$6:$B$17,$A35,'S6'!$E$6:$E$17,"Ambos")+SUMIFS('S7'!$I$6:$I$19,'S7'!$B$6:$B$19,$A35,'S7'!$E$6:$E$19,"Víctor")+SUMIFS('S7'!$I$6:$I$19,'S7'!$B$6:$B$19,$A35,'S7'!$E$6:$E$19,"Ambos")+SUMIFS('S8'!$I$6:$I$23,'S8'!$B$6:$B$23,$A35,'S8'!$E$6:$E$23,"Víctor")+SUMIFS('S8'!$I$6:$I$23,'S8'!$B$6:$B$23,$A35,'S8'!$E$6:$E$23,"Ambos")+SUMIFS('S9'!$I$6:$I$15,'S9'!$B$6:$B$15,$A35,'S9'!$E$6:$E$15,"Víctor")+SUMIFS('S9'!$I$6:$I$15,'S9'!$B$6:$B$15,$A35,'S9'!$E$6:$E$15,"Ambos")+SUMIFS('S10'!$I$6:$I$13,'S10'!$B$6:$B$13,$A35,'S10'!$E$6:$E$13,"Víctor")+SUMIFS('S10'!$I$6:$I$13,'S10'!$B$6:$B$13,$A35,'S10'!$E$6:$E$13,"Ambos")+SUMIFS('Holgura'!$I$6:$I$11,'Holgura'!$B$6:$B$11,$A35,'Holgura'!$E$6:$E$11,"Víctor")+SUMIFS('Holgura'!$I$6:$I$11,'Holgura'!$B$6:$B$11,$A35,'Holgura'!$E$6:$E$11,"Ambos")+SUMIFS('Entrega'!$I$6:$I$9,'Entrega'!$B$6:$B$9,$A35,'Entrega'!$E$6:$E$9,"Víctor")+SUMIFS('Entrega'!$I$6:$I$9,'Entrega'!$B$6:$B$9,$A35,'Entrega'!$E$6:$E$9,"Ambos")+SUMIFS('Defensa'!$I$6:$I$10,'Defensa'!$B$6:$B$10,$A35,'Defensa'!$E$6:$E$10,"Víctor")+SUMIFS('Defensa'!$I$6:$I$10,'Defensa'!$B$6:$B$10,$A35,'Defensa'!$E$6:$E$10,"Ambos")</f>
        <v/>
      </c>
      <c r="E35" s="21">
        <f>SUMIFS('S1'!$I$6:$I$32,'S1'!$B$6:$B$32,$A35,'S1'!$E$6:$E$32,"Diego")+SUMIFS('S1'!$I$6:$I$32,'S1'!$B$6:$B$32,$A35,'S1'!$E$6:$E$32,"Ambos")+SUMIFS('S2'!$I$6:$I$23,'S2'!$B$6:$B$23,$A35,'S2'!$E$6:$E$23,"Diego")+SUMIFS('S2'!$I$6:$I$23,'S2'!$B$6:$B$23,$A35,'S2'!$E$6:$E$23,"Ambos")+SUMIFS('S3'!$I$6:$I$24,'S3'!$B$6:$B$24,$A35,'S3'!$E$6:$E$24,"Diego")+SUMIFS('S3'!$I$6:$I$24,'S3'!$B$6:$B$24,$A35,'S3'!$E$6:$E$24,"Ambos")+SUMIFS('S4'!$I$6:$I$22,'S4'!$B$6:$B$22,$A35,'S4'!$E$6:$E$22,"Diego")+SUMIFS('S4'!$I$6:$I$22,'S4'!$B$6:$B$22,$A35,'S4'!$E$6:$E$22,"Ambos")+SUMIFS('S5'!$I$6:$I$20,'S5'!$B$6:$B$20,$A35,'S5'!$E$6:$E$20,"Diego")+SUMIFS('S5'!$I$6:$I$20,'S5'!$B$6:$B$20,$A35,'S5'!$E$6:$E$20,"Ambos")+SUMIFS('S6'!$I$6:$I$17,'S6'!$B$6:$B$17,$A35,'S6'!$E$6:$E$17,"Diego")+SUMIFS('S6'!$I$6:$I$17,'S6'!$B$6:$B$17,$A35,'S6'!$E$6:$E$17,"Ambos")+SUMIFS('S7'!$I$6:$I$19,'S7'!$B$6:$B$19,$A35,'S7'!$E$6:$E$19,"Diego")+SUMIFS('S7'!$I$6:$I$19,'S7'!$B$6:$B$19,$A35,'S7'!$E$6:$E$19,"Ambos")+SUMIFS('S8'!$I$6:$I$23,'S8'!$B$6:$B$23,$A35,'S8'!$E$6:$E$23,"Diego")+SUMIFS('S8'!$I$6:$I$23,'S8'!$B$6:$B$23,$A35,'S8'!$E$6:$E$23,"Ambos")+SUMIFS('S9'!$I$6:$I$15,'S9'!$B$6:$B$15,$A35,'S9'!$E$6:$E$15,"Diego")+SUMIFS('S9'!$I$6:$I$15,'S9'!$B$6:$B$15,$A35,'S9'!$E$6:$E$15,"Ambos")+SUMIFS('S10'!$I$6:$I$13,'S10'!$B$6:$B$13,$A35,'S10'!$E$6:$E$13,"Diego")+SUMIFS('S10'!$I$6:$I$13,'S10'!$B$6:$B$13,$A35,'S10'!$E$6:$E$13,"Ambos")+SUMIFS('Holgura'!$I$6:$I$11,'Holgura'!$B$6:$B$11,$A35,'Holgura'!$E$6:$E$11,"Diego")+SUMIFS('Holgura'!$I$6:$I$11,'Holgura'!$B$6:$B$11,$A35,'Holgura'!$E$6:$E$11,"Ambos")+SUMIFS('Entrega'!$I$6:$I$9,'Entrega'!$B$6:$B$9,$A35,'Entrega'!$E$6:$E$9,"Diego")+SUMIFS('Entrega'!$I$6:$I$9,'Entrega'!$B$6:$B$9,$A35,'Entrega'!$E$6:$E$9,"Ambos")+SUMIFS('Defensa'!$I$6:$I$10,'Defensa'!$B$6:$B$10,$A35,'Defensa'!$E$6:$E$10,"Diego")+SUMIFS('Defensa'!$I$6:$I$10,'Defensa'!$B$6:$B$10,$A35,'Defensa'!$E$6:$E$10,"Ambos")</f>
        <v/>
      </c>
      <c r="F35" s="21">
        <f>COUNTIFS('S1'!$B$6:$B$32,$A35,'S1'!$E$6:$E$32,"Víctor")+COUNTIFS('S1'!$B$6:$B$32,$A35,'S1'!$E$6:$E$32,"Ambos")+COUNTIFS('S2'!$B$6:$B$23,$A35,'S2'!$E$6:$E$23,"Víctor")+COUNTIFS('S2'!$B$6:$B$23,$A35,'S2'!$E$6:$E$23,"Ambos")+COUNTIFS('S3'!$B$6:$B$24,$A35,'S3'!$E$6:$E$24,"Víctor")+COUNTIFS('S3'!$B$6:$B$24,$A35,'S3'!$E$6:$E$24,"Ambos")+COUNTIFS('S4'!$B$6:$B$22,$A35,'S4'!$E$6:$E$22,"Víctor")+COUNTIFS('S4'!$B$6:$B$22,$A35,'S4'!$E$6:$E$22,"Ambos")+COUNTIFS('S5'!$B$6:$B$20,$A35,'S5'!$E$6:$E$20,"Víctor")+COUNTIFS('S5'!$B$6:$B$20,$A35,'S5'!$E$6:$E$20,"Ambos")+COUNTIFS('S6'!$B$6:$B$17,$A35,'S6'!$E$6:$E$17,"Víctor")+COUNTIFS('S6'!$B$6:$B$17,$A35,'S6'!$E$6:$E$17,"Ambos")+COUNTIFS('S7'!$B$6:$B$19,$A35,'S7'!$E$6:$E$19,"Víctor")+COUNTIFS('S7'!$B$6:$B$19,$A35,'S7'!$E$6:$E$19,"Ambos")+COUNTIFS('S8'!$B$6:$B$23,$A35,'S8'!$E$6:$E$23,"Víctor")+COUNTIFS('S8'!$B$6:$B$23,$A35,'S8'!$E$6:$E$23,"Ambos")+COUNTIFS('S9'!$B$6:$B$15,$A35,'S9'!$E$6:$E$15,"Víctor")+COUNTIFS('S9'!$B$6:$B$15,$A35,'S9'!$E$6:$E$15,"Ambos")+COUNTIFS('S10'!$B$6:$B$13,$A35,'S10'!$E$6:$E$13,"Víctor")+COUNTIFS('S10'!$B$6:$B$13,$A35,'S10'!$E$6:$E$13,"Ambos")+COUNTIFS('Holgura'!$B$6:$B$11,$A35,'Holgura'!$E$6:$E$11,"Víctor")+COUNTIFS('Holgura'!$B$6:$B$11,$A35,'Holgura'!$E$6:$E$11,"Ambos")+COUNTIFS('Entrega'!$B$6:$B$9,$A35,'Entrega'!$E$6:$E$9,"Víctor")+COUNTIFS('Entrega'!$B$6:$B$9,$A35,'Entrega'!$E$6:$E$9,"Ambos")+COUNTIFS('Defensa'!$B$6:$B$10,$A35,'Defensa'!$E$6:$E$10,"Víctor")+COUNTIFS('Defensa'!$B$6:$B$10,$A35,'Defensa'!$E$6:$E$10,"Ambos")</f>
        <v/>
      </c>
      <c r="G35" s="21">
        <f>COUNTIFS('S1'!$B$6:$B$32,$A35,'S1'!$E$6:$E$32,"Diego")+COUNTIFS('S1'!$B$6:$B$32,$A35,'S1'!$E$6:$E$32,"Ambos")+COUNTIFS('S2'!$B$6:$B$23,$A35,'S2'!$E$6:$E$23,"Diego")+COUNTIFS('S2'!$B$6:$B$23,$A35,'S2'!$E$6:$E$23,"Ambos")+COUNTIFS('S3'!$B$6:$B$24,$A35,'S3'!$E$6:$E$24,"Diego")+COUNTIFS('S3'!$B$6:$B$24,$A35,'S3'!$E$6:$E$24,"Ambos")+COUNTIFS('S4'!$B$6:$B$22,$A35,'S4'!$E$6:$E$22,"Diego")+COUNTIFS('S4'!$B$6:$B$22,$A35,'S4'!$E$6:$E$22,"Ambos")+COUNTIFS('S5'!$B$6:$B$20,$A35,'S5'!$E$6:$E$20,"Diego")+COUNTIFS('S5'!$B$6:$B$20,$A35,'S5'!$E$6:$E$20,"Ambos")+COUNTIFS('S6'!$B$6:$B$17,$A35,'S6'!$E$6:$E$17,"Diego")+COUNTIFS('S6'!$B$6:$B$17,$A35,'S6'!$E$6:$E$17,"Ambos")+COUNTIFS('S7'!$B$6:$B$19,$A35,'S7'!$E$6:$E$19,"Diego")+COUNTIFS('S7'!$B$6:$B$19,$A35,'S7'!$E$6:$E$19,"Ambos")+COUNTIFS('S8'!$B$6:$B$23,$A35,'S8'!$E$6:$E$23,"Diego")+COUNTIFS('S8'!$B$6:$B$23,$A35,'S8'!$E$6:$E$23,"Ambos")+COUNTIFS('S9'!$B$6:$B$15,$A35,'S9'!$E$6:$E$15,"Diego")+COUNTIFS('S9'!$B$6:$B$15,$A35,'S9'!$E$6:$E$15,"Ambos")+COUNTIFS('S10'!$B$6:$B$13,$A35,'S10'!$E$6:$E$13,"Diego")+COUNTIFS('S10'!$B$6:$B$13,$A35,'S10'!$E$6:$E$13,"Ambos")+COUNTIFS('Holgura'!$B$6:$B$11,$A35,'Holgura'!$E$6:$E$11,"Diego")+COUNTIFS('Holgura'!$B$6:$B$11,$A35,'Holgura'!$E$6:$E$11,"Ambos")+COUNTIFS('Entrega'!$B$6:$B$9,$A35,'Entrega'!$E$6:$E$9,"Diego")+COUNTIFS('Entrega'!$B$6:$B$9,$A35,'Entrega'!$E$6:$E$9,"Ambos")+COUNTIFS('Defensa'!$B$6:$B$10,$A35,'Defensa'!$E$6:$E$10,"Diego")+COUNTIFS('Defensa'!$B$6:$B$10,$A35,'Defensa'!$E$6:$E$10,"Ambos")</f>
        <v/>
      </c>
    </row>
    <row r="36">
      <c r="A36" s="25" t="n">
        <v>46338</v>
      </c>
      <c r="B36" s="26">
        <f>A36</f>
        <v/>
      </c>
      <c r="C36" s="21">
        <f>IF(WEEKDAY(A36,2)&gt;5,4,2)</f>
        <v/>
      </c>
      <c r="D36" s="21">
        <f>SUMIFS('S1'!$I$6:$I$32,'S1'!$B$6:$B$32,$A36,'S1'!$E$6:$E$32,"Víctor")+SUMIFS('S1'!$I$6:$I$32,'S1'!$B$6:$B$32,$A36,'S1'!$E$6:$E$32,"Ambos")+SUMIFS('S2'!$I$6:$I$23,'S2'!$B$6:$B$23,$A36,'S2'!$E$6:$E$23,"Víctor")+SUMIFS('S2'!$I$6:$I$23,'S2'!$B$6:$B$23,$A36,'S2'!$E$6:$E$23,"Ambos")+SUMIFS('S3'!$I$6:$I$24,'S3'!$B$6:$B$24,$A36,'S3'!$E$6:$E$24,"Víctor")+SUMIFS('S3'!$I$6:$I$24,'S3'!$B$6:$B$24,$A36,'S3'!$E$6:$E$24,"Ambos")+SUMIFS('S4'!$I$6:$I$22,'S4'!$B$6:$B$22,$A36,'S4'!$E$6:$E$22,"Víctor")+SUMIFS('S4'!$I$6:$I$22,'S4'!$B$6:$B$22,$A36,'S4'!$E$6:$E$22,"Ambos")+SUMIFS('S5'!$I$6:$I$20,'S5'!$B$6:$B$20,$A36,'S5'!$E$6:$E$20,"Víctor")+SUMIFS('S5'!$I$6:$I$20,'S5'!$B$6:$B$20,$A36,'S5'!$E$6:$E$20,"Ambos")+SUMIFS('S6'!$I$6:$I$17,'S6'!$B$6:$B$17,$A36,'S6'!$E$6:$E$17,"Víctor")+SUMIFS('S6'!$I$6:$I$17,'S6'!$B$6:$B$17,$A36,'S6'!$E$6:$E$17,"Ambos")+SUMIFS('S7'!$I$6:$I$19,'S7'!$B$6:$B$19,$A36,'S7'!$E$6:$E$19,"Víctor")+SUMIFS('S7'!$I$6:$I$19,'S7'!$B$6:$B$19,$A36,'S7'!$E$6:$E$19,"Ambos")+SUMIFS('S8'!$I$6:$I$23,'S8'!$B$6:$B$23,$A36,'S8'!$E$6:$E$23,"Víctor")+SUMIFS('S8'!$I$6:$I$23,'S8'!$B$6:$B$23,$A36,'S8'!$E$6:$E$23,"Ambos")+SUMIFS('S9'!$I$6:$I$15,'S9'!$B$6:$B$15,$A36,'S9'!$E$6:$E$15,"Víctor")+SUMIFS('S9'!$I$6:$I$15,'S9'!$B$6:$B$15,$A36,'S9'!$E$6:$E$15,"Ambos")+SUMIFS('S10'!$I$6:$I$13,'S10'!$B$6:$B$13,$A36,'S10'!$E$6:$E$13,"Víctor")+SUMIFS('S10'!$I$6:$I$13,'S10'!$B$6:$B$13,$A36,'S10'!$E$6:$E$13,"Ambos")+SUMIFS('Holgura'!$I$6:$I$11,'Holgura'!$B$6:$B$11,$A36,'Holgura'!$E$6:$E$11,"Víctor")+SUMIFS('Holgura'!$I$6:$I$11,'Holgura'!$B$6:$B$11,$A36,'Holgura'!$E$6:$E$11,"Ambos")+SUMIFS('Entrega'!$I$6:$I$9,'Entrega'!$B$6:$B$9,$A36,'Entrega'!$E$6:$E$9,"Víctor")+SUMIFS('Entrega'!$I$6:$I$9,'Entrega'!$B$6:$B$9,$A36,'Entrega'!$E$6:$E$9,"Ambos")+SUMIFS('Defensa'!$I$6:$I$10,'Defensa'!$B$6:$B$10,$A36,'Defensa'!$E$6:$E$10,"Víctor")+SUMIFS('Defensa'!$I$6:$I$10,'Defensa'!$B$6:$B$10,$A36,'Defensa'!$E$6:$E$10,"Ambos")</f>
        <v/>
      </c>
      <c r="E36" s="21">
        <f>SUMIFS('S1'!$I$6:$I$32,'S1'!$B$6:$B$32,$A36,'S1'!$E$6:$E$32,"Diego")+SUMIFS('S1'!$I$6:$I$32,'S1'!$B$6:$B$32,$A36,'S1'!$E$6:$E$32,"Ambos")+SUMIFS('S2'!$I$6:$I$23,'S2'!$B$6:$B$23,$A36,'S2'!$E$6:$E$23,"Diego")+SUMIFS('S2'!$I$6:$I$23,'S2'!$B$6:$B$23,$A36,'S2'!$E$6:$E$23,"Ambos")+SUMIFS('S3'!$I$6:$I$24,'S3'!$B$6:$B$24,$A36,'S3'!$E$6:$E$24,"Diego")+SUMIFS('S3'!$I$6:$I$24,'S3'!$B$6:$B$24,$A36,'S3'!$E$6:$E$24,"Ambos")+SUMIFS('S4'!$I$6:$I$22,'S4'!$B$6:$B$22,$A36,'S4'!$E$6:$E$22,"Diego")+SUMIFS('S4'!$I$6:$I$22,'S4'!$B$6:$B$22,$A36,'S4'!$E$6:$E$22,"Ambos")+SUMIFS('S5'!$I$6:$I$20,'S5'!$B$6:$B$20,$A36,'S5'!$E$6:$E$20,"Diego")+SUMIFS('S5'!$I$6:$I$20,'S5'!$B$6:$B$20,$A36,'S5'!$E$6:$E$20,"Ambos")+SUMIFS('S6'!$I$6:$I$17,'S6'!$B$6:$B$17,$A36,'S6'!$E$6:$E$17,"Diego")+SUMIFS('S6'!$I$6:$I$17,'S6'!$B$6:$B$17,$A36,'S6'!$E$6:$E$17,"Ambos")+SUMIFS('S7'!$I$6:$I$19,'S7'!$B$6:$B$19,$A36,'S7'!$E$6:$E$19,"Diego")+SUMIFS('S7'!$I$6:$I$19,'S7'!$B$6:$B$19,$A36,'S7'!$E$6:$E$19,"Ambos")+SUMIFS('S8'!$I$6:$I$23,'S8'!$B$6:$B$23,$A36,'S8'!$E$6:$E$23,"Diego")+SUMIFS('S8'!$I$6:$I$23,'S8'!$B$6:$B$23,$A36,'S8'!$E$6:$E$23,"Ambos")+SUMIFS('S9'!$I$6:$I$15,'S9'!$B$6:$B$15,$A36,'S9'!$E$6:$E$15,"Diego")+SUMIFS('S9'!$I$6:$I$15,'S9'!$B$6:$B$15,$A36,'S9'!$E$6:$E$15,"Ambos")+SUMIFS('S10'!$I$6:$I$13,'S10'!$B$6:$B$13,$A36,'S10'!$E$6:$E$13,"Diego")+SUMIFS('S10'!$I$6:$I$13,'S10'!$B$6:$B$13,$A36,'S10'!$E$6:$E$13,"Ambos")+SUMIFS('Holgura'!$I$6:$I$11,'Holgura'!$B$6:$B$11,$A36,'Holgura'!$E$6:$E$11,"Diego")+SUMIFS('Holgura'!$I$6:$I$11,'Holgura'!$B$6:$B$11,$A36,'Holgura'!$E$6:$E$11,"Ambos")+SUMIFS('Entrega'!$I$6:$I$9,'Entrega'!$B$6:$B$9,$A36,'Entrega'!$E$6:$E$9,"Diego")+SUMIFS('Entrega'!$I$6:$I$9,'Entrega'!$B$6:$B$9,$A36,'Entrega'!$E$6:$E$9,"Ambos")+SUMIFS('Defensa'!$I$6:$I$10,'Defensa'!$B$6:$B$10,$A36,'Defensa'!$E$6:$E$10,"Diego")+SUMIFS('Defensa'!$I$6:$I$10,'Defensa'!$B$6:$B$10,$A36,'Defensa'!$E$6:$E$10,"Ambos")</f>
        <v/>
      </c>
      <c r="F36" s="21">
        <f>COUNTIFS('S1'!$B$6:$B$32,$A36,'S1'!$E$6:$E$32,"Víctor")+COUNTIFS('S1'!$B$6:$B$32,$A36,'S1'!$E$6:$E$32,"Ambos")+COUNTIFS('S2'!$B$6:$B$23,$A36,'S2'!$E$6:$E$23,"Víctor")+COUNTIFS('S2'!$B$6:$B$23,$A36,'S2'!$E$6:$E$23,"Ambos")+COUNTIFS('S3'!$B$6:$B$24,$A36,'S3'!$E$6:$E$24,"Víctor")+COUNTIFS('S3'!$B$6:$B$24,$A36,'S3'!$E$6:$E$24,"Ambos")+COUNTIFS('S4'!$B$6:$B$22,$A36,'S4'!$E$6:$E$22,"Víctor")+COUNTIFS('S4'!$B$6:$B$22,$A36,'S4'!$E$6:$E$22,"Ambos")+COUNTIFS('S5'!$B$6:$B$20,$A36,'S5'!$E$6:$E$20,"Víctor")+COUNTIFS('S5'!$B$6:$B$20,$A36,'S5'!$E$6:$E$20,"Ambos")+COUNTIFS('S6'!$B$6:$B$17,$A36,'S6'!$E$6:$E$17,"Víctor")+COUNTIFS('S6'!$B$6:$B$17,$A36,'S6'!$E$6:$E$17,"Ambos")+COUNTIFS('S7'!$B$6:$B$19,$A36,'S7'!$E$6:$E$19,"Víctor")+COUNTIFS('S7'!$B$6:$B$19,$A36,'S7'!$E$6:$E$19,"Ambos")+COUNTIFS('S8'!$B$6:$B$23,$A36,'S8'!$E$6:$E$23,"Víctor")+COUNTIFS('S8'!$B$6:$B$23,$A36,'S8'!$E$6:$E$23,"Ambos")+COUNTIFS('S9'!$B$6:$B$15,$A36,'S9'!$E$6:$E$15,"Víctor")+COUNTIFS('S9'!$B$6:$B$15,$A36,'S9'!$E$6:$E$15,"Ambos")+COUNTIFS('S10'!$B$6:$B$13,$A36,'S10'!$E$6:$E$13,"Víctor")+COUNTIFS('S10'!$B$6:$B$13,$A36,'S10'!$E$6:$E$13,"Ambos")+COUNTIFS('Holgura'!$B$6:$B$11,$A36,'Holgura'!$E$6:$E$11,"Víctor")+COUNTIFS('Holgura'!$B$6:$B$11,$A36,'Holgura'!$E$6:$E$11,"Ambos")+COUNTIFS('Entrega'!$B$6:$B$9,$A36,'Entrega'!$E$6:$E$9,"Víctor")+COUNTIFS('Entrega'!$B$6:$B$9,$A36,'Entrega'!$E$6:$E$9,"Ambos")+COUNTIFS('Defensa'!$B$6:$B$10,$A36,'Defensa'!$E$6:$E$10,"Víctor")+COUNTIFS('Defensa'!$B$6:$B$10,$A36,'Defensa'!$E$6:$E$10,"Ambos")</f>
        <v/>
      </c>
      <c r="G36" s="21">
        <f>COUNTIFS('S1'!$B$6:$B$32,$A36,'S1'!$E$6:$E$32,"Diego")+COUNTIFS('S1'!$B$6:$B$32,$A36,'S1'!$E$6:$E$32,"Ambos")+COUNTIFS('S2'!$B$6:$B$23,$A36,'S2'!$E$6:$E$23,"Diego")+COUNTIFS('S2'!$B$6:$B$23,$A36,'S2'!$E$6:$E$23,"Ambos")+COUNTIFS('S3'!$B$6:$B$24,$A36,'S3'!$E$6:$E$24,"Diego")+COUNTIFS('S3'!$B$6:$B$24,$A36,'S3'!$E$6:$E$24,"Ambos")+COUNTIFS('S4'!$B$6:$B$22,$A36,'S4'!$E$6:$E$22,"Diego")+COUNTIFS('S4'!$B$6:$B$22,$A36,'S4'!$E$6:$E$22,"Ambos")+COUNTIFS('S5'!$B$6:$B$20,$A36,'S5'!$E$6:$E$20,"Diego")+COUNTIFS('S5'!$B$6:$B$20,$A36,'S5'!$E$6:$E$20,"Ambos")+COUNTIFS('S6'!$B$6:$B$17,$A36,'S6'!$E$6:$E$17,"Diego")+COUNTIFS('S6'!$B$6:$B$17,$A36,'S6'!$E$6:$E$17,"Ambos")+COUNTIFS('S7'!$B$6:$B$19,$A36,'S7'!$E$6:$E$19,"Diego")+COUNTIFS('S7'!$B$6:$B$19,$A36,'S7'!$E$6:$E$19,"Ambos")+COUNTIFS('S8'!$B$6:$B$23,$A36,'S8'!$E$6:$E$23,"Diego")+COUNTIFS('S8'!$B$6:$B$23,$A36,'S8'!$E$6:$E$23,"Ambos")+COUNTIFS('S9'!$B$6:$B$15,$A36,'S9'!$E$6:$E$15,"Diego")+COUNTIFS('S9'!$B$6:$B$15,$A36,'S9'!$E$6:$E$15,"Ambos")+COUNTIFS('S10'!$B$6:$B$13,$A36,'S10'!$E$6:$E$13,"Diego")+COUNTIFS('S10'!$B$6:$B$13,$A36,'S10'!$E$6:$E$13,"Ambos")+COUNTIFS('Holgura'!$B$6:$B$11,$A36,'Holgura'!$E$6:$E$11,"Diego")+COUNTIFS('Holgura'!$B$6:$B$11,$A36,'Holgura'!$E$6:$E$11,"Ambos")+COUNTIFS('Entrega'!$B$6:$B$9,$A36,'Entrega'!$E$6:$E$9,"Diego")+COUNTIFS('Entrega'!$B$6:$B$9,$A36,'Entrega'!$E$6:$E$9,"Ambos")+COUNTIFS('Defensa'!$B$6:$B$10,$A36,'Defensa'!$E$6:$E$10,"Diego")+COUNTIFS('Defensa'!$B$6:$B$10,$A36,'Defensa'!$E$6:$E$10,"Ambos")</f>
        <v/>
      </c>
    </row>
    <row r="37">
      <c r="A37" s="25" t="n">
        <v>46339</v>
      </c>
      <c r="B37" s="26">
        <f>A37</f>
        <v/>
      </c>
      <c r="C37" s="21">
        <f>IF(WEEKDAY(A37,2)&gt;5,4,2)</f>
        <v/>
      </c>
      <c r="D37" s="21">
        <f>SUMIFS('S1'!$I$6:$I$32,'S1'!$B$6:$B$32,$A37,'S1'!$E$6:$E$32,"Víctor")+SUMIFS('S1'!$I$6:$I$32,'S1'!$B$6:$B$32,$A37,'S1'!$E$6:$E$32,"Ambos")+SUMIFS('S2'!$I$6:$I$23,'S2'!$B$6:$B$23,$A37,'S2'!$E$6:$E$23,"Víctor")+SUMIFS('S2'!$I$6:$I$23,'S2'!$B$6:$B$23,$A37,'S2'!$E$6:$E$23,"Ambos")+SUMIFS('S3'!$I$6:$I$24,'S3'!$B$6:$B$24,$A37,'S3'!$E$6:$E$24,"Víctor")+SUMIFS('S3'!$I$6:$I$24,'S3'!$B$6:$B$24,$A37,'S3'!$E$6:$E$24,"Ambos")+SUMIFS('S4'!$I$6:$I$22,'S4'!$B$6:$B$22,$A37,'S4'!$E$6:$E$22,"Víctor")+SUMIFS('S4'!$I$6:$I$22,'S4'!$B$6:$B$22,$A37,'S4'!$E$6:$E$22,"Ambos")+SUMIFS('S5'!$I$6:$I$20,'S5'!$B$6:$B$20,$A37,'S5'!$E$6:$E$20,"Víctor")+SUMIFS('S5'!$I$6:$I$20,'S5'!$B$6:$B$20,$A37,'S5'!$E$6:$E$20,"Ambos")+SUMIFS('S6'!$I$6:$I$17,'S6'!$B$6:$B$17,$A37,'S6'!$E$6:$E$17,"Víctor")+SUMIFS('S6'!$I$6:$I$17,'S6'!$B$6:$B$17,$A37,'S6'!$E$6:$E$17,"Ambos")+SUMIFS('S7'!$I$6:$I$19,'S7'!$B$6:$B$19,$A37,'S7'!$E$6:$E$19,"Víctor")+SUMIFS('S7'!$I$6:$I$19,'S7'!$B$6:$B$19,$A37,'S7'!$E$6:$E$19,"Ambos")+SUMIFS('S8'!$I$6:$I$23,'S8'!$B$6:$B$23,$A37,'S8'!$E$6:$E$23,"Víctor")+SUMIFS('S8'!$I$6:$I$23,'S8'!$B$6:$B$23,$A37,'S8'!$E$6:$E$23,"Ambos")+SUMIFS('S9'!$I$6:$I$15,'S9'!$B$6:$B$15,$A37,'S9'!$E$6:$E$15,"Víctor")+SUMIFS('S9'!$I$6:$I$15,'S9'!$B$6:$B$15,$A37,'S9'!$E$6:$E$15,"Ambos")+SUMIFS('S10'!$I$6:$I$13,'S10'!$B$6:$B$13,$A37,'S10'!$E$6:$E$13,"Víctor")+SUMIFS('S10'!$I$6:$I$13,'S10'!$B$6:$B$13,$A37,'S10'!$E$6:$E$13,"Ambos")+SUMIFS('Holgura'!$I$6:$I$11,'Holgura'!$B$6:$B$11,$A37,'Holgura'!$E$6:$E$11,"Víctor")+SUMIFS('Holgura'!$I$6:$I$11,'Holgura'!$B$6:$B$11,$A37,'Holgura'!$E$6:$E$11,"Ambos")+SUMIFS('Entrega'!$I$6:$I$9,'Entrega'!$B$6:$B$9,$A37,'Entrega'!$E$6:$E$9,"Víctor")+SUMIFS('Entrega'!$I$6:$I$9,'Entrega'!$B$6:$B$9,$A37,'Entrega'!$E$6:$E$9,"Ambos")+SUMIFS('Defensa'!$I$6:$I$10,'Defensa'!$B$6:$B$10,$A37,'Defensa'!$E$6:$E$10,"Víctor")+SUMIFS('Defensa'!$I$6:$I$10,'Defensa'!$B$6:$B$10,$A37,'Defensa'!$E$6:$E$10,"Ambos")</f>
        <v/>
      </c>
      <c r="E37" s="21">
        <f>SUMIFS('S1'!$I$6:$I$32,'S1'!$B$6:$B$32,$A37,'S1'!$E$6:$E$32,"Diego")+SUMIFS('S1'!$I$6:$I$32,'S1'!$B$6:$B$32,$A37,'S1'!$E$6:$E$32,"Ambos")+SUMIFS('S2'!$I$6:$I$23,'S2'!$B$6:$B$23,$A37,'S2'!$E$6:$E$23,"Diego")+SUMIFS('S2'!$I$6:$I$23,'S2'!$B$6:$B$23,$A37,'S2'!$E$6:$E$23,"Ambos")+SUMIFS('S3'!$I$6:$I$24,'S3'!$B$6:$B$24,$A37,'S3'!$E$6:$E$24,"Diego")+SUMIFS('S3'!$I$6:$I$24,'S3'!$B$6:$B$24,$A37,'S3'!$E$6:$E$24,"Ambos")+SUMIFS('S4'!$I$6:$I$22,'S4'!$B$6:$B$22,$A37,'S4'!$E$6:$E$22,"Diego")+SUMIFS('S4'!$I$6:$I$22,'S4'!$B$6:$B$22,$A37,'S4'!$E$6:$E$22,"Ambos")+SUMIFS('S5'!$I$6:$I$20,'S5'!$B$6:$B$20,$A37,'S5'!$E$6:$E$20,"Diego")+SUMIFS('S5'!$I$6:$I$20,'S5'!$B$6:$B$20,$A37,'S5'!$E$6:$E$20,"Ambos")+SUMIFS('S6'!$I$6:$I$17,'S6'!$B$6:$B$17,$A37,'S6'!$E$6:$E$17,"Diego")+SUMIFS('S6'!$I$6:$I$17,'S6'!$B$6:$B$17,$A37,'S6'!$E$6:$E$17,"Ambos")+SUMIFS('S7'!$I$6:$I$19,'S7'!$B$6:$B$19,$A37,'S7'!$E$6:$E$19,"Diego")+SUMIFS('S7'!$I$6:$I$19,'S7'!$B$6:$B$19,$A37,'S7'!$E$6:$E$19,"Ambos")+SUMIFS('S8'!$I$6:$I$23,'S8'!$B$6:$B$23,$A37,'S8'!$E$6:$E$23,"Diego")+SUMIFS('S8'!$I$6:$I$23,'S8'!$B$6:$B$23,$A37,'S8'!$E$6:$E$23,"Ambos")+SUMIFS('S9'!$I$6:$I$15,'S9'!$B$6:$B$15,$A37,'S9'!$E$6:$E$15,"Diego")+SUMIFS('S9'!$I$6:$I$15,'S9'!$B$6:$B$15,$A37,'S9'!$E$6:$E$15,"Ambos")+SUMIFS('S10'!$I$6:$I$13,'S10'!$B$6:$B$13,$A37,'S10'!$E$6:$E$13,"Diego")+SUMIFS('S10'!$I$6:$I$13,'S10'!$B$6:$B$13,$A37,'S10'!$E$6:$E$13,"Ambos")+SUMIFS('Holgura'!$I$6:$I$11,'Holgura'!$B$6:$B$11,$A37,'Holgura'!$E$6:$E$11,"Diego")+SUMIFS('Holgura'!$I$6:$I$11,'Holgura'!$B$6:$B$11,$A37,'Holgura'!$E$6:$E$11,"Ambos")+SUMIFS('Entrega'!$I$6:$I$9,'Entrega'!$B$6:$B$9,$A37,'Entrega'!$E$6:$E$9,"Diego")+SUMIFS('Entrega'!$I$6:$I$9,'Entrega'!$B$6:$B$9,$A37,'Entrega'!$E$6:$E$9,"Ambos")+SUMIFS('Defensa'!$I$6:$I$10,'Defensa'!$B$6:$B$10,$A37,'Defensa'!$E$6:$E$10,"Diego")+SUMIFS('Defensa'!$I$6:$I$10,'Defensa'!$B$6:$B$10,$A37,'Defensa'!$E$6:$E$10,"Ambos")</f>
        <v/>
      </c>
      <c r="F37" s="21">
        <f>COUNTIFS('S1'!$B$6:$B$32,$A37,'S1'!$E$6:$E$32,"Víctor")+COUNTIFS('S1'!$B$6:$B$32,$A37,'S1'!$E$6:$E$32,"Ambos")+COUNTIFS('S2'!$B$6:$B$23,$A37,'S2'!$E$6:$E$23,"Víctor")+COUNTIFS('S2'!$B$6:$B$23,$A37,'S2'!$E$6:$E$23,"Ambos")+COUNTIFS('S3'!$B$6:$B$24,$A37,'S3'!$E$6:$E$24,"Víctor")+COUNTIFS('S3'!$B$6:$B$24,$A37,'S3'!$E$6:$E$24,"Ambos")+COUNTIFS('S4'!$B$6:$B$22,$A37,'S4'!$E$6:$E$22,"Víctor")+COUNTIFS('S4'!$B$6:$B$22,$A37,'S4'!$E$6:$E$22,"Ambos")+COUNTIFS('S5'!$B$6:$B$20,$A37,'S5'!$E$6:$E$20,"Víctor")+COUNTIFS('S5'!$B$6:$B$20,$A37,'S5'!$E$6:$E$20,"Ambos")+COUNTIFS('S6'!$B$6:$B$17,$A37,'S6'!$E$6:$E$17,"Víctor")+COUNTIFS('S6'!$B$6:$B$17,$A37,'S6'!$E$6:$E$17,"Ambos")+COUNTIFS('S7'!$B$6:$B$19,$A37,'S7'!$E$6:$E$19,"Víctor")+COUNTIFS('S7'!$B$6:$B$19,$A37,'S7'!$E$6:$E$19,"Ambos")+COUNTIFS('S8'!$B$6:$B$23,$A37,'S8'!$E$6:$E$23,"Víctor")+COUNTIFS('S8'!$B$6:$B$23,$A37,'S8'!$E$6:$E$23,"Ambos")+COUNTIFS('S9'!$B$6:$B$15,$A37,'S9'!$E$6:$E$15,"Víctor")+COUNTIFS('S9'!$B$6:$B$15,$A37,'S9'!$E$6:$E$15,"Ambos")+COUNTIFS('S10'!$B$6:$B$13,$A37,'S10'!$E$6:$E$13,"Víctor")+COUNTIFS('S10'!$B$6:$B$13,$A37,'S10'!$E$6:$E$13,"Ambos")+COUNTIFS('Holgura'!$B$6:$B$11,$A37,'Holgura'!$E$6:$E$11,"Víctor")+COUNTIFS('Holgura'!$B$6:$B$11,$A37,'Holgura'!$E$6:$E$11,"Ambos")+COUNTIFS('Entrega'!$B$6:$B$9,$A37,'Entrega'!$E$6:$E$9,"Víctor")+COUNTIFS('Entrega'!$B$6:$B$9,$A37,'Entrega'!$E$6:$E$9,"Ambos")+COUNTIFS('Defensa'!$B$6:$B$10,$A37,'Defensa'!$E$6:$E$10,"Víctor")+COUNTIFS('Defensa'!$B$6:$B$10,$A37,'Defensa'!$E$6:$E$10,"Ambos")</f>
        <v/>
      </c>
      <c r="G37" s="21">
        <f>COUNTIFS('S1'!$B$6:$B$32,$A37,'S1'!$E$6:$E$32,"Diego")+COUNTIFS('S1'!$B$6:$B$32,$A37,'S1'!$E$6:$E$32,"Ambos")+COUNTIFS('S2'!$B$6:$B$23,$A37,'S2'!$E$6:$E$23,"Diego")+COUNTIFS('S2'!$B$6:$B$23,$A37,'S2'!$E$6:$E$23,"Ambos")+COUNTIFS('S3'!$B$6:$B$24,$A37,'S3'!$E$6:$E$24,"Diego")+COUNTIFS('S3'!$B$6:$B$24,$A37,'S3'!$E$6:$E$24,"Ambos")+COUNTIFS('S4'!$B$6:$B$22,$A37,'S4'!$E$6:$E$22,"Diego")+COUNTIFS('S4'!$B$6:$B$22,$A37,'S4'!$E$6:$E$22,"Ambos")+COUNTIFS('S5'!$B$6:$B$20,$A37,'S5'!$E$6:$E$20,"Diego")+COUNTIFS('S5'!$B$6:$B$20,$A37,'S5'!$E$6:$E$20,"Ambos")+COUNTIFS('S6'!$B$6:$B$17,$A37,'S6'!$E$6:$E$17,"Diego")+COUNTIFS('S6'!$B$6:$B$17,$A37,'S6'!$E$6:$E$17,"Ambos")+COUNTIFS('S7'!$B$6:$B$19,$A37,'S7'!$E$6:$E$19,"Diego")+COUNTIFS('S7'!$B$6:$B$19,$A37,'S7'!$E$6:$E$19,"Ambos")+COUNTIFS('S8'!$B$6:$B$23,$A37,'S8'!$E$6:$E$23,"Diego")+COUNTIFS('S8'!$B$6:$B$23,$A37,'S8'!$E$6:$E$23,"Ambos")+COUNTIFS('S9'!$B$6:$B$15,$A37,'S9'!$E$6:$E$15,"Diego")+COUNTIFS('S9'!$B$6:$B$15,$A37,'S9'!$E$6:$E$15,"Ambos")+COUNTIFS('S10'!$B$6:$B$13,$A37,'S10'!$E$6:$E$13,"Diego")+COUNTIFS('S10'!$B$6:$B$13,$A37,'S10'!$E$6:$E$13,"Ambos")+COUNTIFS('Holgura'!$B$6:$B$11,$A37,'Holgura'!$E$6:$E$11,"Diego")+COUNTIFS('Holgura'!$B$6:$B$11,$A37,'Holgura'!$E$6:$E$11,"Ambos")+COUNTIFS('Entrega'!$B$6:$B$9,$A37,'Entrega'!$E$6:$E$9,"Diego")+COUNTIFS('Entrega'!$B$6:$B$9,$A37,'Entrega'!$E$6:$E$9,"Ambos")+COUNTIFS('Defensa'!$B$6:$B$10,$A37,'Defensa'!$E$6:$E$10,"Diego")+COUNTIFS('Defensa'!$B$6:$B$10,$A37,'Defensa'!$E$6:$E$10,"Ambos")</f>
        <v/>
      </c>
    </row>
    <row r="38">
      <c r="A38" s="25" t="n">
        <v>46340</v>
      </c>
      <c r="B38" s="26">
        <f>A38</f>
        <v/>
      </c>
      <c r="C38" s="21">
        <f>IF(WEEKDAY(A38,2)&gt;5,4,2)</f>
        <v/>
      </c>
      <c r="D38" s="21">
        <f>SUMIFS('S1'!$I$6:$I$32,'S1'!$B$6:$B$32,$A38,'S1'!$E$6:$E$32,"Víctor")+SUMIFS('S1'!$I$6:$I$32,'S1'!$B$6:$B$32,$A38,'S1'!$E$6:$E$32,"Ambos")+SUMIFS('S2'!$I$6:$I$23,'S2'!$B$6:$B$23,$A38,'S2'!$E$6:$E$23,"Víctor")+SUMIFS('S2'!$I$6:$I$23,'S2'!$B$6:$B$23,$A38,'S2'!$E$6:$E$23,"Ambos")+SUMIFS('S3'!$I$6:$I$24,'S3'!$B$6:$B$24,$A38,'S3'!$E$6:$E$24,"Víctor")+SUMIFS('S3'!$I$6:$I$24,'S3'!$B$6:$B$24,$A38,'S3'!$E$6:$E$24,"Ambos")+SUMIFS('S4'!$I$6:$I$22,'S4'!$B$6:$B$22,$A38,'S4'!$E$6:$E$22,"Víctor")+SUMIFS('S4'!$I$6:$I$22,'S4'!$B$6:$B$22,$A38,'S4'!$E$6:$E$22,"Ambos")+SUMIFS('S5'!$I$6:$I$20,'S5'!$B$6:$B$20,$A38,'S5'!$E$6:$E$20,"Víctor")+SUMIFS('S5'!$I$6:$I$20,'S5'!$B$6:$B$20,$A38,'S5'!$E$6:$E$20,"Ambos")+SUMIFS('S6'!$I$6:$I$17,'S6'!$B$6:$B$17,$A38,'S6'!$E$6:$E$17,"Víctor")+SUMIFS('S6'!$I$6:$I$17,'S6'!$B$6:$B$17,$A38,'S6'!$E$6:$E$17,"Ambos")+SUMIFS('S7'!$I$6:$I$19,'S7'!$B$6:$B$19,$A38,'S7'!$E$6:$E$19,"Víctor")+SUMIFS('S7'!$I$6:$I$19,'S7'!$B$6:$B$19,$A38,'S7'!$E$6:$E$19,"Ambos")+SUMIFS('S8'!$I$6:$I$23,'S8'!$B$6:$B$23,$A38,'S8'!$E$6:$E$23,"Víctor")+SUMIFS('S8'!$I$6:$I$23,'S8'!$B$6:$B$23,$A38,'S8'!$E$6:$E$23,"Ambos")+SUMIFS('S9'!$I$6:$I$15,'S9'!$B$6:$B$15,$A38,'S9'!$E$6:$E$15,"Víctor")+SUMIFS('S9'!$I$6:$I$15,'S9'!$B$6:$B$15,$A38,'S9'!$E$6:$E$15,"Ambos")+SUMIFS('S10'!$I$6:$I$13,'S10'!$B$6:$B$13,$A38,'S10'!$E$6:$E$13,"Víctor")+SUMIFS('S10'!$I$6:$I$13,'S10'!$B$6:$B$13,$A38,'S10'!$E$6:$E$13,"Ambos")+SUMIFS('Holgura'!$I$6:$I$11,'Holgura'!$B$6:$B$11,$A38,'Holgura'!$E$6:$E$11,"Víctor")+SUMIFS('Holgura'!$I$6:$I$11,'Holgura'!$B$6:$B$11,$A38,'Holgura'!$E$6:$E$11,"Ambos")+SUMIFS('Entrega'!$I$6:$I$9,'Entrega'!$B$6:$B$9,$A38,'Entrega'!$E$6:$E$9,"Víctor")+SUMIFS('Entrega'!$I$6:$I$9,'Entrega'!$B$6:$B$9,$A38,'Entrega'!$E$6:$E$9,"Ambos")+SUMIFS('Defensa'!$I$6:$I$10,'Defensa'!$B$6:$B$10,$A38,'Defensa'!$E$6:$E$10,"Víctor")+SUMIFS('Defensa'!$I$6:$I$10,'Defensa'!$B$6:$B$10,$A38,'Defensa'!$E$6:$E$10,"Ambos")</f>
        <v/>
      </c>
      <c r="E38" s="21">
        <f>SUMIFS('S1'!$I$6:$I$32,'S1'!$B$6:$B$32,$A38,'S1'!$E$6:$E$32,"Diego")+SUMIFS('S1'!$I$6:$I$32,'S1'!$B$6:$B$32,$A38,'S1'!$E$6:$E$32,"Ambos")+SUMIFS('S2'!$I$6:$I$23,'S2'!$B$6:$B$23,$A38,'S2'!$E$6:$E$23,"Diego")+SUMIFS('S2'!$I$6:$I$23,'S2'!$B$6:$B$23,$A38,'S2'!$E$6:$E$23,"Ambos")+SUMIFS('S3'!$I$6:$I$24,'S3'!$B$6:$B$24,$A38,'S3'!$E$6:$E$24,"Diego")+SUMIFS('S3'!$I$6:$I$24,'S3'!$B$6:$B$24,$A38,'S3'!$E$6:$E$24,"Ambos")+SUMIFS('S4'!$I$6:$I$22,'S4'!$B$6:$B$22,$A38,'S4'!$E$6:$E$22,"Diego")+SUMIFS('S4'!$I$6:$I$22,'S4'!$B$6:$B$22,$A38,'S4'!$E$6:$E$22,"Ambos")+SUMIFS('S5'!$I$6:$I$20,'S5'!$B$6:$B$20,$A38,'S5'!$E$6:$E$20,"Diego")+SUMIFS('S5'!$I$6:$I$20,'S5'!$B$6:$B$20,$A38,'S5'!$E$6:$E$20,"Ambos")+SUMIFS('S6'!$I$6:$I$17,'S6'!$B$6:$B$17,$A38,'S6'!$E$6:$E$17,"Diego")+SUMIFS('S6'!$I$6:$I$17,'S6'!$B$6:$B$17,$A38,'S6'!$E$6:$E$17,"Ambos")+SUMIFS('S7'!$I$6:$I$19,'S7'!$B$6:$B$19,$A38,'S7'!$E$6:$E$19,"Diego")+SUMIFS('S7'!$I$6:$I$19,'S7'!$B$6:$B$19,$A38,'S7'!$E$6:$E$19,"Ambos")+SUMIFS('S8'!$I$6:$I$23,'S8'!$B$6:$B$23,$A38,'S8'!$E$6:$E$23,"Diego")+SUMIFS('S8'!$I$6:$I$23,'S8'!$B$6:$B$23,$A38,'S8'!$E$6:$E$23,"Ambos")+SUMIFS('S9'!$I$6:$I$15,'S9'!$B$6:$B$15,$A38,'S9'!$E$6:$E$15,"Diego")+SUMIFS('S9'!$I$6:$I$15,'S9'!$B$6:$B$15,$A38,'S9'!$E$6:$E$15,"Ambos")+SUMIFS('S10'!$I$6:$I$13,'S10'!$B$6:$B$13,$A38,'S10'!$E$6:$E$13,"Diego")+SUMIFS('S10'!$I$6:$I$13,'S10'!$B$6:$B$13,$A38,'S10'!$E$6:$E$13,"Ambos")+SUMIFS('Holgura'!$I$6:$I$11,'Holgura'!$B$6:$B$11,$A38,'Holgura'!$E$6:$E$11,"Diego")+SUMIFS('Holgura'!$I$6:$I$11,'Holgura'!$B$6:$B$11,$A38,'Holgura'!$E$6:$E$11,"Ambos")+SUMIFS('Entrega'!$I$6:$I$9,'Entrega'!$B$6:$B$9,$A38,'Entrega'!$E$6:$E$9,"Diego")+SUMIFS('Entrega'!$I$6:$I$9,'Entrega'!$B$6:$B$9,$A38,'Entrega'!$E$6:$E$9,"Ambos")+SUMIFS('Defensa'!$I$6:$I$10,'Defensa'!$B$6:$B$10,$A38,'Defensa'!$E$6:$E$10,"Diego")+SUMIFS('Defensa'!$I$6:$I$10,'Defensa'!$B$6:$B$10,$A38,'Defensa'!$E$6:$E$10,"Ambos")</f>
        <v/>
      </c>
      <c r="F38" s="21">
        <f>COUNTIFS('S1'!$B$6:$B$32,$A38,'S1'!$E$6:$E$32,"Víctor")+COUNTIFS('S1'!$B$6:$B$32,$A38,'S1'!$E$6:$E$32,"Ambos")+COUNTIFS('S2'!$B$6:$B$23,$A38,'S2'!$E$6:$E$23,"Víctor")+COUNTIFS('S2'!$B$6:$B$23,$A38,'S2'!$E$6:$E$23,"Ambos")+COUNTIFS('S3'!$B$6:$B$24,$A38,'S3'!$E$6:$E$24,"Víctor")+COUNTIFS('S3'!$B$6:$B$24,$A38,'S3'!$E$6:$E$24,"Ambos")+COUNTIFS('S4'!$B$6:$B$22,$A38,'S4'!$E$6:$E$22,"Víctor")+COUNTIFS('S4'!$B$6:$B$22,$A38,'S4'!$E$6:$E$22,"Ambos")+COUNTIFS('S5'!$B$6:$B$20,$A38,'S5'!$E$6:$E$20,"Víctor")+COUNTIFS('S5'!$B$6:$B$20,$A38,'S5'!$E$6:$E$20,"Ambos")+COUNTIFS('S6'!$B$6:$B$17,$A38,'S6'!$E$6:$E$17,"Víctor")+COUNTIFS('S6'!$B$6:$B$17,$A38,'S6'!$E$6:$E$17,"Ambos")+COUNTIFS('S7'!$B$6:$B$19,$A38,'S7'!$E$6:$E$19,"Víctor")+COUNTIFS('S7'!$B$6:$B$19,$A38,'S7'!$E$6:$E$19,"Ambos")+COUNTIFS('S8'!$B$6:$B$23,$A38,'S8'!$E$6:$E$23,"Víctor")+COUNTIFS('S8'!$B$6:$B$23,$A38,'S8'!$E$6:$E$23,"Ambos")+COUNTIFS('S9'!$B$6:$B$15,$A38,'S9'!$E$6:$E$15,"Víctor")+COUNTIFS('S9'!$B$6:$B$15,$A38,'S9'!$E$6:$E$15,"Ambos")+COUNTIFS('S10'!$B$6:$B$13,$A38,'S10'!$E$6:$E$13,"Víctor")+COUNTIFS('S10'!$B$6:$B$13,$A38,'S10'!$E$6:$E$13,"Ambos")+COUNTIFS('Holgura'!$B$6:$B$11,$A38,'Holgura'!$E$6:$E$11,"Víctor")+COUNTIFS('Holgura'!$B$6:$B$11,$A38,'Holgura'!$E$6:$E$11,"Ambos")+COUNTIFS('Entrega'!$B$6:$B$9,$A38,'Entrega'!$E$6:$E$9,"Víctor")+COUNTIFS('Entrega'!$B$6:$B$9,$A38,'Entrega'!$E$6:$E$9,"Ambos")+COUNTIFS('Defensa'!$B$6:$B$10,$A38,'Defensa'!$E$6:$E$10,"Víctor")+COUNTIFS('Defensa'!$B$6:$B$10,$A38,'Defensa'!$E$6:$E$10,"Ambos")</f>
        <v/>
      </c>
      <c r="G38" s="21">
        <f>COUNTIFS('S1'!$B$6:$B$32,$A38,'S1'!$E$6:$E$32,"Diego")+COUNTIFS('S1'!$B$6:$B$32,$A38,'S1'!$E$6:$E$32,"Ambos")+COUNTIFS('S2'!$B$6:$B$23,$A38,'S2'!$E$6:$E$23,"Diego")+COUNTIFS('S2'!$B$6:$B$23,$A38,'S2'!$E$6:$E$23,"Ambos")+COUNTIFS('S3'!$B$6:$B$24,$A38,'S3'!$E$6:$E$24,"Diego")+COUNTIFS('S3'!$B$6:$B$24,$A38,'S3'!$E$6:$E$24,"Ambos")+COUNTIFS('S4'!$B$6:$B$22,$A38,'S4'!$E$6:$E$22,"Diego")+COUNTIFS('S4'!$B$6:$B$22,$A38,'S4'!$E$6:$E$22,"Ambos")+COUNTIFS('S5'!$B$6:$B$20,$A38,'S5'!$E$6:$E$20,"Diego")+COUNTIFS('S5'!$B$6:$B$20,$A38,'S5'!$E$6:$E$20,"Ambos")+COUNTIFS('S6'!$B$6:$B$17,$A38,'S6'!$E$6:$E$17,"Diego")+COUNTIFS('S6'!$B$6:$B$17,$A38,'S6'!$E$6:$E$17,"Ambos")+COUNTIFS('S7'!$B$6:$B$19,$A38,'S7'!$E$6:$E$19,"Diego")+COUNTIFS('S7'!$B$6:$B$19,$A38,'S7'!$E$6:$E$19,"Ambos")+COUNTIFS('S8'!$B$6:$B$23,$A38,'S8'!$E$6:$E$23,"Diego")+COUNTIFS('S8'!$B$6:$B$23,$A38,'S8'!$E$6:$E$23,"Ambos")+COUNTIFS('S9'!$B$6:$B$15,$A38,'S9'!$E$6:$E$15,"Diego")+COUNTIFS('S9'!$B$6:$B$15,$A38,'S9'!$E$6:$E$15,"Ambos")+COUNTIFS('S10'!$B$6:$B$13,$A38,'S10'!$E$6:$E$13,"Diego")+COUNTIFS('S10'!$B$6:$B$13,$A38,'S10'!$E$6:$E$13,"Ambos")+COUNTIFS('Holgura'!$B$6:$B$11,$A38,'Holgura'!$E$6:$E$11,"Diego")+COUNTIFS('Holgura'!$B$6:$B$11,$A38,'Holgura'!$E$6:$E$11,"Ambos")+COUNTIFS('Entrega'!$B$6:$B$9,$A38,'Entrega'!$E$6:$E$9,"Diego")+COUNTIFS('Entrega'!$B$6:$B$9,$A38,'Entrega'!$E$6:$E$9,"Ambos")+COUNTIFS('Defensa'!$B$6:$B$10,$A38,'Defensa'!$E$6:$E$10,"Diego")+COUNTIFS('Defensa'!$B$6:$B$10,$A38,'Defensa'!$E$6:$E$10,"Ambos")</f>
        <v/>
      </c>
    </row>
    <row r="39">
      <c r="A39" s="25" t="n">
        <v>46341</v>
      </c>
      <c r="B39" s="26">
        <f>A39</f>
        <v/>
      </c>
      <c r="C39" s="21">
        <f>IF(WEEKDAY(A39,2)&gt;5,4,2)</f>
        <v/>
      </c>
      <c r="D39" s="21">
        <f>SUMIFS('S1'!$I$6:$I$32,'S1'!$B$6:$B$32,$A39,'S1'!$E$6:$E$32,"Víctor")+SUMIFS('S1'!$I$6:$I$32,'S1'!$B$6:$B$32,$A39,'S1'!$E$6:$E$32,"Ambos")+SUMIFS('S2'!$I$6:$I$23,'S2'!$B$6:$B$23,$A39,'S2'!$E$6:$E$23,"Víctor")+SUMIFS('S2'!$I$6:$I$23,'S2'!$B$6:$B$23,$A39,'S2'!$E$6:$E$23,"Ambos")+SUMIFS('S3'!$I$6:$I$24,'S3'!$B$6:$B$24,$A39,'S3'!$E$6:$E$24,"Víctor")+SUMIFS('S3'!$I$6:$I$24,'S3'!$B$6:$B$24,$A39,'S3'!$E$6:$E$24,"Ambos")+SUMIFS('S4'!$I$6:$I$22,'S4'!$B$6:$B$22,$A39,'S4'!$E$6:$E$22,"Víctor")+SUMIFS('S4'!$I$6:$I$22,'S4'!$B$6:$B$22,$A39,'S4'!$E$6:$E$22,"Ambos")+SUMIFS('S5'!$I$6:$I$20,'S5'!$B$6:$B$20,$A39,'S5'!$E$6:$E$20,"Víctor")+SUMIFS('S5'!$I$6:$I$20,'S5'!$B$6:$B$20,$A39,'S5'!$E$6:$E$20,"Ambos")+SUMIFS('S6'!$I$6:$I$17,'S6'!$B$6:$B$17,$A39,'S6'!$E$6:$E$17,"Víctor")+SUMIFS('S6'!$I$6:$I$17,'S6'!$B$6:$B$17,$A39,'S6'!$E$6:$E$17,"Ambos")+SUMIFS('S7'!$I$6:$I$19,'S7'!$B$6:$B$19,$A39,'S7'!$E$6:$E$19,"Víctor")+SUMIFS('S7'!$I$6:$I$19,'S7'!$B$6:$B$19,$A39,'S7'!$E$6:$E$19,"Ambos")+SUMIFS('S8'!$I$6:$I$23,'S8'!$B$6:$B$23,$A39,'S8'!$E$6:$E$23,"Víctor")+SUMIFS('S8'!$I$6:$I$23,'S8'!$B$6:$B$23,$A39,'S8'!$E$6:$E$23,"Ambos")+SUMIFS('S9'!$I$6:$I$15,'S9'!$B$6:$B$15,$A39,'S9'!$E$6:$E$15,"Víctor")+SUMIFS('S9'!$I$6:$I$15,'S9'!$B$6:$B$15,$A39,'S9'!$E$6:$E$15,"Ambos")+SUMIFS('S10'!$I$6:$I$13,'S10'!$B$6:$B$13,$A39,'S10'!$E$6:$E$13,"Víctor")+SUMIFS('S10'!$I$6:$I$13,'S10'!$B$6:$B$13,$A39,'S10'!$E$6:$E$13,"Ambos")+SUMIFS('Holgura'!$I$6:$I$11,'Holgura'!$B$6:$B$11,$A39,'Holgura'!$E$6:$E$11,"Víctor")+SUMIFS('Holgura'!$I$6:$I$11,'Holgura'!$B$6:$B$11,$A39,'Holgura'!$E$6:$E$11,"Ambos")+SUMIFS('Entrega'!$I$6:$I$9,'Entrega'!$B$6:$B$9,$A39,'Entrega'!$E$6:$E$9,"Víctor")+SUMIFS('Entrega'!$I$6:$I$9,'Entrega'!$B$6:$B$9,$A39,'Entrega'!$E$6:$E$9,"Ambos")+SUMIFS('Defensa'!$I$6:$I$10,'Defensa'!$B$6:$B$10,$A39,'Defensa'!$E$6:$E$10,"Víctor")+SUMIFS('Defensa'!$I$6:$I$10,'Defensa'!$B$6:$B$10,$A39,'Defensa'!$E$6:$E$10,"Ambos")</f>
        <v/>
      </c>
      <c r="E39" s="21">
        <f>SUMIFS('S1'!$I$6:$I$32,'S1'!$B$6:$B$32,$A39,'S1'!$E$6:$E$32,"Diego")+SUMIFS('S1'!$I$6:$I$32,'S1'!$B$6:$B$32,$A39,'S1'!$E$6:$E$32,"Ambos")+SUMIFS('S2'!$I$6:$I$23,'S2'!$B$6:$B$23,$A39,'S2'!$E$6:$E$23,"Diego")+SUMIFS('S2'!$I$6:$I$23,'S2'!$B$6:$B$23,$A39,'S2'!$E$6:$E$23,"Ambos")+SUMIFS('S3'!$I$6:$I$24,'S3'!$B$6:$B$24,$A39,'S3'!$E$6:$E$24,"Diego")+SUMIFS('S3'!$I$6:$I$24,'S3'!$B$6:$B$24,$A39,'S3'!$E$6:$E$24,"Ambos")+SUMIFS('S4'!$I$6:$I$22,'S4'!$B$6:$B$22,$A39,'S4'!$E$6:$E$22,"Diego")+SUMIFS('S4'!$I$6:$I$22,'S4'!$B$6:$B$22,$A39,'S4'!$E$6:$E$22,"Ambos")+SUMIFS('S5'!$I$6:$I$20,'S5'!$B$6:$B$20,$A39,'S5'!$E$6:$E$20,"Diego")+SUMIFS('S5'!$I$6:$I$20,'S5'!$B$6:$B$20,$A39,'S5'!$E$6:$E$20,"Ambos")+SUMIFS('S6'!$I$6:$I$17,'S6'!$B$6:$B$17,$A39,'S6'!$E$6:$E$17,"Diego")+SUMIFS('S6'!$I$6:$I$17,'S6'!$B$6:$B$17,$A39,'S6'!$E$6:$E$17,"Ambos")+SUMIFS('S7'!$I$6:$I$19,'S7'!$B$6:$B$19,$A39,'S7'!$E$6:$E$19,"Diego")+SUMIFS('S7'!$I$6:$I$19,'S7'!$B$6:$B$19,$A39,'S7'!$E$6:$E$19,"Ambos")+SUMIFS('S8'!$I$6:$I$23,'S8'!$B$6:$B$23,$A39,'S8'!$E$6:$E$23,"Diego")+SUMIFS('S8'!$I$6:$I$23,'S8'!$B$6:$B$23,$A39,'S8'!$E$6:$E$23,"Ambos")+SUMIFS('S9'!$I$6:$I$15,'S9'!$B$6:$B$15,$A39,'S9'!$E$6:$E$15,"Diego")+SUMIFS('S9'!$I$6:$I$15,'S9'!$B$6:$B$15,$A39,'S9'!$E$6:$E$15,"Ambos")+SUMIFS('S10'!$I$6:$I$13,'S10'!$B$6:$B$13,$A39,'S10'!$E$6:$E$13,"Diego")+SUMIFS('S10'!$I$6:$I$13,'S10'!$B$6:$B$13,$A39,'S10'!$E$6:$E$13,"Ambos")+SUMIFS('Holgura'!$I$6:$I$11,'Holgura'!$B$6:$B$11,$A39,'Holgura'!$E$6:$E$11,"Diego")+SUMIFS('Holgura'!$I$6:$I$11,'Holgura'!$B$6:$B$11,$A39,'Holgura'!$E$6:$E$11,"Ambos")+SUMIFS('Entrega'!$I$6:$I$9,'Entrega'!$B$6:$B$9,$A39,'Entrega'!$E$6:$E$9,"Diego")+SUMIFS('Entrega'!$I$6:$I$9,'Entrega'!$B$6:$B$9,$A39,'Entrega'!$E$6:$E$9,"Ambos")+SUMIFS('Defensa'!$I$6:$I$10,'Defensa'!$B$6:$B$10,$A39,'Defensa'!$E$6:$E$10,"Diego")+SUMIFS('Defensa'!$I$6:$I$10,'Defensa'!$B$6:$B$10,$A39,'Defensa'!$E$6:$E$10,"Ambos")</f>
        <v/>
      </c>
      <c r="F39" s="21">
        <f>COUNTIFS('S1'!$B$6:$B$32,$A39,'S1'!$E$6:$E$32,"Víctor")+COUNTIFS('S1'!$B$6:$B$32,$A39,'S1'!$E$6:$E$32,"Ambos")+COUNTIFS('S2'!$B$6:$B$23,$A39,'S2'!$E$6:$E$23,"Víctor")+COUNTIFS('S2'!$B$6:$B$23,$A39,'S2'!$E$6:$E$23,"Ambos")+COUNTIFS('S3'!$B$6:$B$24,$A39,'S3'!$E$6:$E$24,"Víctor")+COUNTIFS('S3'!$B$6:$B$24,$A39,'S3'!$E$6:$E$24,"Ambos")+COUNTIFS('S4'!$B$6:$B$22,$A39,'S4'!$E$6:$E$22,"Víctor")+COUNTIFS('S4'!$B$6:$B$22,$A39,'S4'!$E$6:$E$22,"Ambos")+COUNTIFS('S5'!$B$6:$B$20,$A39,'S5'!$E$6:$E$20,"Víctor")+COUNTIFS('S5'!$B$6:$B$20,$A39,'S5'!$E$6:$E$20,"Ambos")+COUNTIFS('S6'!$B$6:$B$17,$A39,'S6'!$E$6:$E$17,"Víctor")+COUNTIFS('S6'!$B$6:$B$17,$A39,'S6'!$E$6:$E$17,"Ambos")+COUNTIFS('S7'!$B$6:$B$19,$A39,'S7'!$E$6:$E$19,"Víctor")+COUNTIFS('S7'!$B$6:$B$19,$A39,'S7'!$E$6:$E$19,"Ambos")+COUNTIFS('S8'!$B$6:$B$23,$A39,'S8'!$E$6:$E$23,"Víctor")+COUNTIFS('S8'!$B$6:$B$23,$A39,'S8'!$E$6:$E$23,"Ambos")+COUNTIFS('S9'!$B$6:$B$15,$A39,'S9'!$E$6:$E$15,"Víctor")+COUNTIFS('S9'!$B$6:$B$15,$A39,'S9'!$E$6:$E$15,"Ambos")+COUNTIFS('S10'!$B$6:$B$13,$A39,'S10'!$E$6:$E$13,"Víctor")+COUNTIFS('S10'!$B$6:$B$13,$A39,'S10'!$E$6:$E$13,"Ambos")+COUNTIFS('Holgura'!$B$6:$B$11,$A39,'Holgura'!$E$6:$E$11,"Víctor")+COUNTIFS('Holgura'!$B$6:$B$11,$A39,'Holgura'!$E$6:$E$11,"Ambos")+COUNTIFS('Entrega'!$B$6:$B$9,$A39,'Entrega'!$E$6:$E$9,"Víctor")+COUNTIFS('Entrega'!$B$6:$B$9,$A39,'Entrega'!$E$6:$E$9,"Ambos")+COUNTIFS('Defensa'!$B$6:$B$10,$A39,'Defensa'!$E$6:$E$10,"Víctor")+COUNTIFS('Defensa'!$B$6:$B$10,$A39,'Defensa'!$E$6:$E$10,"Ambos")</f>
        <v/>
      </c>
      <c r="G39" s="21">
        <f>COUNTIFS('S1'!$B$6:$B$32,$A39,'S1'!$E$6:$E$32,"Diego")+COUNTIFS('S1'!$B$6:$B$32,$A39,'S1'!$E$6:$E$32,"Ambos")+COUNTIFS('S2'!$B$6:$B$23,$A39,'S2'!$E$6:$E$23,"Diego")+COUNTIFS('S2'!$B$6:$B$23,$A39,'S2'!$E$6:$E$23,"Ambos")+COUNTIFS('S3'!$B$6:$B$24,$A39,'S3'!$E$6:$E$24,"Diego")+COUNTIFS('S3'!$B$6:$B$24,$A39,'S3'!$E$6:$E$24,"Ambos")+COUNTIFS('S4'!$B$6:$B$22,$A39,'S4'!$E$6:$E$22,"Diego")+COUNTIFS('S4'!$B$6:$B$22,$A39,'S4'!$E$6:$E$22,"Ambos")+COUNTIFS('S5'!$B$6:$B$20,$A39,'S5'!$E$6:$E$20,"Diego")+COUNTIFS('S5'!$B$6:$B$20,$A39,'S5'!$E$6:$E$20,"Ambos")+COUNTIFS('S6'!$B$6:$B$17,$A39,'S6'!$E$6:$E$17,"Diego")+COUNTIFS('S6'!$B$6:$B$17,$A39,'S6'!$E$6:$E$17,"Ambos")+COUNTIFS('S7'!$B$6:$B$19,$A39,'S7'!$E$6:$E$19,"Diego")+COUNTIFS('S7'!$B$6:$B$19,$A39,'S7'!$E$6:$E$19,"Ambos")+COUNTIFS('S8'!$B$6:$B$23,$A39,'S8'!$E$6:$E$23,"Diego")+COUNTIFS('S8'!$B$6:$B$23,$A39,'S8'!$E$6:$E$23,"Ambos")+COUNTIFS('S9'!$B$6:$B$15,$A39,'S9'!$E$6:$E$15,"Diego")+COUNTIFS('S9'!$B$6:$B$15,$A39,'S9'!$E$6:$E$15,"Ambos")+COUNTIFS('S10'!$B$6:$B$13,$A39,'S10'!$E$6:$E$13,"Diego")+COUNTIFS('S10'!$B$6:$B$13,$A39,'S10'!$E$6:$E$13,"Ambos")+COUNTIFS('Holgura'!$B$6:$B$11,$A39,'Holgura'!$E$6:$E$11,"Diego")+COUNTIFS('Holgura'!$B$6:$B$11,$A39,'Holgura'!$E$6:$E$11,"Ambos")+COUNTIFS('Entrega'!$B$6:$B$9,$A39,'Entrega'!$E$6:$E$9,"Diego")+COUNTIFS('Entrega'!$B$6:$B$9,$A39,'Entrega'!$E$6:$E$9,"Ambos")+COUNTIFS('Defensa'!$B$6:$B$10,$A39,'Defensa'!$E$6:$E$10,"Diego")+COUNTIFS('Defensa'!$B$6:$B$10,$A39,'Defensa'!$E$6:$E$10,"Ambos")</f>
        <v/>
      </c>
    </row>
    <row r="40">
      <c r="A40" s="25" t="n">
        <v>46342</v>
      </c>
      <c r="B40" s="26">
        <f>A40</f>
        <v/>
      </c>
      <c r="C40" s="21">
        <f>IF(WEEKDAY(A40,2)&gt;5,4,2)</f>
        <v/>
      </c>
      <c r="D40" s="21">
        <f>SUMIFS('S1'!$I$6:$I$32,'S1'!$B$6:$B$32,$A40,'S1'!$E$6:$E$32,"Víctor")+SUMIFS('S1'!$I$6:$I$32,'S1'!$B$6:$B$32,$A40,'S1'!$E$6:$E$32,"Ambos")+SUMIFS('S2'!$I$6:$I$23,'S2'!$B$6:$B$23,$A40,'S2'!$E$6:$E$23,"Víctor")+SUMIFS('S2'!$I$6:$I$23,'S2'!$B$6:$B$23,$A40,'S2'!$E$6:$E$23,"Ambos")+SUMIFS('S3'!$I$6:$I$24,'S3'!$B$6:$B$24,$A40,'S3'!$E$6:$E$24,"Víctor")+SUMIFS('S3'!$I$6:$I$24,'S3'!$B$6:$B$24,$A40,'S3'!$E$6:$E$24,"Ambos")+SUMIFS('S4'!$I$6:$I$22,'S4'!$B$6:$B$22,$A40,'S4'!$E$6:$E$22,"Víctor")+SUMIFS('S4'!$I$6:$I$22,'S4'!$B$6:$B$22,$A40,'S4'!$E$6:$E$22,"Ambos")+SUMIFS('S5'!$I$6:$I$20,'S5'!$B$6:$B$20,$A40,'S5'!$E$6:$E$20,"Víctor")+SUMIFS('S5'!$I$6:$I$20,'S5'!$B$6:$B$20,$A40,'S5'!$E$6:$E$20,"Ambos")+SUMIFS('S6'!$I$6:$I$17,'S6'!$B$6:$B$17,$A40,'S6'!$E$6:$E$17,"Víctor")+SUMIFS('S6'!$I$6:$I$17,'S6'!$B$6:$B$17,$A40,'S6'!$E$6:$E$17,"Ambos")+SUMIFS('S7'!$I$6:$I$19,'S7'!$B$6:$B$19,$A40,'S7'!$E$6:$E$19,"Víctor")+SUMIFS('S7'!$I$6:$I$19,'S7'!$B$6:$B$19,$A40,'S7'!$E$6:$E$19,"Ambos")+SUMIFS('S8'!$I$6:$I$23,'S8'!$B$6:$B$23,$A40,'S8'!$E$6:$E$23,"Víctor")+SUMIFS('S8'!$I$6:$I$23,'S8'!$B$6:$B$23,$A40,'S8'!$E$6:$E$23,"Ambos")+SUMIFS('S9'!$I$6:$I$15,'S9'!$B$6:$B$15,$A40,'S9'!$E$6:$E$15,"Víctor")+SUMIFS('S9'!$I$6:$I$15,'S9'!$B$6:$B$15,$A40,'S9'!$E$6:$E$15,"Ambos")+SUMIFS('S10'!$I$6:$I$13,'S10'!$B$6:$B$13,$A40,'S10'!$E$6:$E$13,"Víctor")+SUMIFS('S10'!$I$6:$I$13,'S10'!$B$6:$B$13,$A40,'S10'!$E$6:$E$13,"Ambos")+SUMIFS('Holgura'!$I$6:$I$11,'Holgura'!$B$6:$B$11,$A40,'Holgura'!$E$6:$E$11,"Víctor")+SUMIFS('Holgura'!$I$6:$I$11,'Holgura'!$B$6:$B$11,$A40,'Holgura'!$E$6:$E$11,"Ambos")+SUMIFS('Entrega'!$I$6:$I$9,'Entrega'!$B$6:$B$9,$A40,'Entrega'!$E$6:$E$9,"Víctor")+SUMIFS('Entrega'!$I$6:$I$9,'Entrega'!$B$6:$B$9,$A40,'Entrega'!$E$6:$E$9,"Ambos")+SUMIFS('Defensa'!$I$6:$I$10,'Defensa'!$B$6:$B$10,$A40,'Defensa'!$E$6:$E$10,"Víctor")+SUMIFS('Defensa'!$I$6:$I$10,'Defensa'!$B$6:$B$10,$A40,'Defensa'!$E$6:$E$10,"Ambos")</f>
        <v/>
      </c>
      <c r="E40" s="21">
        <f>SUMIFS('S1'!$I$6:$I$32,'S1'!$B$6:$B$32,$A40,'S1'!$E$6:$E$32,"Diego")+SUMIFS('S1'!$I$6:$I$32,'S1'!$B$6:$B$32,$A40,'S1'!$E$6:$E$32,"Ambos")+SUMIFS('S2'!$I$6:$I$23,'S2'!$B$6:$B$23,$A40,'S2'!$E$6:$E$23,"Diego")+SUMIFS('S2'!$I$6:$I$23,'S2'!$B$6:$B$23,$A40,'S2'!$E$6:$E$23,"Ambos")+SUMIFS('S3'!$I$6:$I$24,'S3'!$B$6:$B$24,$A40,'S3'!$E$6:$E$24,"Diego")+SUMIFS('S3'!$I$6:$I$24,'S3'!$B$6:$B$24,$A40,'S3'!$E$6:$E$24,"Ambos")+SUMIFS('S4'!$I$6:$I$22,'S4'!$B$6:$B$22,$A40,'S4'!$E$6:$E$22,"Diego")+SUMIFS('S4'!$I$6:$I$22,'S4'!$B$6:$B$22,$A40,'S4'!$E$6:$E$22,"Ambos")+SUMIFS('S5'!$I$6:$I$20,'S5'!$B$6:$B$20,$A40,'S5'!$E$6:$E$20,"Diego")+SUMIFS('S5'!$I$6:$I$20,'S5'!$B$6:$B$20,$A40,'S5'!$E$6:$E$20,"Ambos")+SUMIFS('S6'!$I$6:$I$17,'S6'!$B$6:$B$17,$A40,'S6'!$E$6:$E$17,"Diego")+SUMIFS('S6'!$I$6:$I$17,'S6'!$B$6:$B$17,$A40,'S6'!$E$6:$E$17,"Ambos")+SUMIFS('S7'!$I$6:$I$19,'S7'!$B$6:$B$19,$A40,'S7'!$E$6:$E$19,"Diego")+SUMIFS('S7'!$I$6:$I$19,'S7'!$B$6:$B$19,$A40,'S7'!$E$6:$E$19,"Ambos")+SUMIFS('S8'!$I$6:$I$23,'S8'!$B$6:$B$23,$A40,'S8'!$E$6:$E$23,"Diego")+SUMIFS('S8'!$I$6:$I$23,'S8'!$B$6:$B$23,$A40,'S8'!$E$6:$E$23,"Ambos")+SUMIFS('S9'!$I$6:$I$15,'S9'!$B$6:$B$15,$A40,'S9'!$E$6:$E$15,"Diego")+SUMIFS('S9'!$I$6:$I$15,'S9'!$B$6:$B$15,$A40,'S9'!$E$6:$E$15,"Ambos")+SUMIFS('S10'!$I$6:$I$13,'S10'!$B$6:$B$13,$A40,'S10'!$E$6:$E$13,"Diego")+SUMIFS('S10'!$I$6:$I$13,'S10'!$B$6:$B$13,$A40,'S10'!$E$6:$E$13,"Ambos")+SUMIFS('Holgura'!$I$6:$I$11,'Holgura'!$B$6:$B$11,$A40,'Holgura'!$E$6:$E$11,"Diego")+SUMIFS('Holgura'!$I$6:$I$11,'Holgura'!$B$6:$B$11,$A40,'Holgura'!$E$6:$E$11,"Ambos")+SUMIFS('Entrega'!$I$6:$I$9,'Entrega'!$B$6:$B$9,$A40,'Entrega'!$E$6:$E$9,"Diego")+SUMIFS('Entrega'!$I$6:$I$9,'Entrega'!$B$6:$B$9,$A40,'Entrega'!$E$6:$E$9,"Ambos")+SUMIFS('Defensa'!$I$6:$I$10,'Defensa'!$B$6:$B$10,$A40,'Defensa'!$E$6:$E$10,"Diego")+SUMIFS('Defensa'!$I$6:$I$10,'Defensa'!$B$6:$B$10,$A40,'Defensa'!$E$6:$E$10,"Ambos")</f>
        <v/>
      </c>
      <c r="F40" s="21">
        <f>COUNTIFS('S1'!$B$6:$B$32,$A40,'S1'!$E$6:$E$32,"Víctor")+COUNTIFS('S1'!$B$6:$B$32,$A40,'S1'!$E$6:$E$32,"Ambos")+COUNTIFS('S2'!$B$6:$B$23,$A40,'S2'!$E$6:$E$23,"Víctor")+COUNTIFS('S2'!$B$6:$B$23,$A40,'S2'!$E$6:$E$23,"Ambos")+COUNTIFS('S3'!$B$6:$B$24,$A40,'S3'!$E$6:$E$24,"Víctor")+COUNTIFS('S3'!$B$6:$B$24,$A40,'S3'!$E$6:$E$24,"Ambos")+COUNTIFS('S4'!$B$6:$B$22,$A40,'S4'!$E$6:$E$22,"Víctor")+COUNTIFS('S4'!$B$6:$B$22,$A40,'S4'!$E$6:$E$22,"Ambos")+COUNTIFS('S5'!$B$6:$B$20,$A40,'S5'!$E$6:$E$20,"Víctor")+COUNTIFS('S5'!$B$6:$B$20,$A40,'S5'!$E$6:$E$20,"Ambos")+COUNTIFS('S6'!$B$6:$B$17,$A40,'S6'!$E$6:$E$17,"Víctor")+COUNTIFS('S6'!$B$6:$B$17,$A40,'S6'!$E$6:$E$17,"Ambos")+COUNTIFS('S7'!$B$6:$B$19,$A40,'S7'!$E$6:$E$19,"Víctor")+COUNTIFS('S7'!$B$6:$B$19,$A40,'S7'!$E$6:$E$19,"Ambos")+COUNTIFS('S8'!$B$6:$B$23,$A40,'S8'!$E$6:$E$23,"Víctor")+COUNTIFS('S8'!$B$6:$B$23,$A40,'S8'!$E$6:$E$23,"Ambos")+COUNTIFS('S9'!$B$6:$B$15,$A40,'S9'!$E$6:$E$15,"Víctor")+COUNTIFS('S9'!$B$6:$B$15,$A40,'S9'!$E$6:$E$15,"Ambos")+COUNTIFS('S10'!$B$6:$B$13,$A40,'S10'!$E$6:$E$13,"Víctor")+COUNTIFS('S10'!$B$6:$B$13,$A40,'S10'!$E$6:$E$13,"Ambos")+COUNTIFS('Holgura'!$B$6:$B$11,$A40,'Holgura'!$E$6:$E$11,"Víctor")+COUNTIFS('Holgura'!$B$6:$B$11,$A40,'Holgura'!$E$6:$E$11,"Ambos")+COUNTIFS('Entrega'!$B$6:$B$9,$A40,'Entrega'!$E$6:$E$9,"Víctor")+COUNTIFS('Entrega'!$B$6:$B$9,$A40,'Entrega'!$E$6:$E$9,"Ambos")+COUNTIFS('Defensa'!$B$6:$B$10,$A40,'Defensa'!$E$6:$E$10,"Víctor")+COUNTIFS('Defensa'!$B$6:$B$10,$A40,'Defensa'!$E$6:$E$10,"Ambos")</f>
        <v/>
      </c>
      <c r="G40" s="21">
        <f>COUNTIFS('S1'!$B$6:$B$32,$A40,'S1'!$E$6:$E$32,"Diego")+COUNTIFS('S1'!$B$6:$B$32,$A40,'S1'!$E$6:$E$32,"Ambos")+COUNTIFS('S2'!$B$6:$B$23,$A40,'S2'!$E$6:$E$23,"Diego")+COUNTIFS('S2'!$B$6:$B$23,$A40,'S2'!$E$6:$E$23,"Ambos")+COUNTIFS('S3'!$B$6:$B$24,$A40,'S3'!$E$6:$E$24,"Diego")+COUNTIFS('S3'!$B$6:$B$24,$A40,'S3'!$E$6:$E$24,"Ambos")+COUNTIFS('S4'!$B$6:$B$22,$A40,'S4'!$E$6:$E$22,"Diego")+COUNTIFS('S4'!$B$6:$B$22,$A40,'S4'!$E$6:$E$22,"Ambos")+COUNTIFS('S5'!$B$6:$B$20,$A40,'S5'!$E$6:$E$20,"Diego")+COUNTIFS('S5'!$B$6:$B$20,$A40,'S5'!$E$6:$E$20,"Ambos")+COUNTIFS('S6'!$B$6:$B$17,$A40,'S6'!$E$6:$E$17,"Diego")+COUNTIFS('S6'!$B$6:$B$17,$A40,'S6'!$E$6:$E$17,"Ambos")+COUNTIFS('S7'!$B$6:$B$19,$A40,'S7'!$E$6:$E$19,"Diego")+COUNTIFS('S7'!$B$6:$B$19,$A40,'S7'!$E$6:$E$19,"Ambos")+COUNTIFS('S8'!$B$6:$B$23,$A40,'S8'!$E$6:$E$23,"Diego")+COUNTIFS('S8'!$B$6:$B$23,$A40,'S8'!$E$6:$E$23,"Ambos")+COUNTIFS('S9'!$B$6:$B$15,$A40,'S9'!$E$6:$E$15,"Diego")+COUNTIFS('S9'!$B$6:$B$15,$A40,'S9'!$E$6:$E$15,"Ambos")+COUNTIFS('S10'!$B$6:$B$13,$A40,'S10'!$E$6:$E$13,"Diego")+COUNTIFS('S10'!$B$6:$B$13,$A40,'S10'!$E$6:$E$13,"Ambos")+COUNTIFS('Holgura'!$B$6:$B$11,$A40,'Holgura'!$E$6:$E$11,"Diego")+COUNTIFS('Holgura'!$B$6:$B$11,$A40,'Holgura'!$E$6:$E$11,"Ambos")+COUNTIFS('Entrega'!$B$6:$B$9,$A40,'Entrega'!$E$6:$E$9,"Diego")+COUNTIFS('Entrega'!$B$6:$B$9,$A40,'Entrega'!$E$6:$E$9,"Ambos")+COUNTIFS('Defensa'!$B$6:$B$10,$A40,'Defensa'!$E$6:$E$10,"Diego")+COUNTIFS('Defensa'!$B$6:$B$10,$A40,'Defensa'!$E$6:$E$10,"Ambos")</f>
        <v/>
      </c>
    </row>
    <row r="41">
      <c r="A41" s="25" t="n">
        <v>46343</v>
      </c>
      <c r="B41" s="26">
        <f>A41</f>
        <v/>
      </c>
      <c r="C41" s="21">
        <f>IF(WEEKDAY(A41,2)&gt;5,4,2)</f>
        <v/>
      </c>
      <c r="D41" s="21">
        <f>SUMIFS('S1'!$I$6:$I$32,'S1'!$B$6:$B$32,$A41,'S1'!$E$6:$E$32,"Víctor")+SUMIFS('S1'!$I$6:$I$32,'S1'!$B$6:$B$32,$A41,'S1'!$E$6:$E$32,"Ambos")+SUMIFS('S2'!$I$6:$I$23,'S2'!$B$6:$B$23,$A41,'S2'!$E$6:$E$23,"Víctor")+SUMIFS('S2'!$I$6:$I$23,'S2'!$B$6:$B$23,$A41,'S2'!$E$6:$E$23,"Ambos")+SUMIFS('S3'!$I$6:$I$24,'S3'!$B$6:$B$24,$A41,'S3'!$E$6:$E$24,"Víctor")+SUMIFS('S3'!$I$6:$I$24,'S3'!$B$6:$B$24,$A41,'S3'!$E$6:$E$24,"Ambos")+SUMIFS('S4'!$I$6:$I$22,'S4'!$B$6:$B$22,$A41,'S4'!$E$6:$E$22,"Víctor")+SUMIFS('S4'!$I$6:$I$22,'S4'!$B$6:$B$22,$A41,'S4'!$E$6:$E$22,"Ambos")+SUMIFS('S5'!$I$6:$I$20,'S5'!$B$6:$B$20,$A41,'S5'!$E$6:$E$20,"Víctor")+SUMIFS('S5'!$I$6:$I$20,'S5'!$B$6:$B$20,$A41,'S5'!$E$6:$E$20,"Ambos")+SUMIFS('S6'!$I$6:$I$17,'S6'!$B$6:$B$17,$A41,'S6'!$E$6:$E$17,"Víctor")+SUMIFS('S6'!$I$6:$I$17,'S6'!$B$6:$B$17,$A41,'S6'!$E$6:$E$17,"Ambos")+SUMIFS('S7'!$I$6:$I$19,'S7'!$B$6:$B$19,$A41,'S7'!$E$6:$E$19,"Víctor")+SUMIFS('S7'!$I$6:$I$19,'S7'!$B$6:$B$19,$A41,'S7'!$E$6:$E$19,"Ambos")+SUMIFS('S8'!$I$6:$I$23,'S8'!$B$6:$B$23,$A41,'S8'!$E$6:$E$23,"Víctor")+SUMIFS('S8'!$I$6:$I$23,'S8'!$B$6:$B$23,$A41,'S8'!$E$6:$E$23,"Ambos")+SUMIFS('S9'!$I$6:$I$15,'S9'!$B$6:$B$15,$A41,'S9'!$E$6:$E$15,"Víctor")+SUMIFS('S9'!$I$6:$I$15,'S9'!$B$6:$B$15,$A41,'S9'!$E$6:$E$15,"Ambos")+SUMIFS('S10'!$I$6:$I$13,'S10'!$B$6:$B$13,$A41,'S10'!$E$6:$E$13,"Víctor")+SUMIFS('S10'!$I$6:$I$13,'S10'!$B$6:$B$13,$A41,'S10'!$E$6:$E$13,"Ambos")+SUMIFS('Holgura'!$I$6:$I$11,'Holgura'!$B$6:$B$11,$A41,'Holgura'!$E$6:$E$11,"Víctor")+SUMIFS('Holgura'!$I$6:$I$11,'Holgura'!$B$6:$B$11,$A41,'Holgura'!$E$6:$E$11,"Ambos")+SUMIFS('Entrega'!$I$6:$I$9,'Entrega'!$B$6:$B$9,$A41,'Entrega'!$E$6:$E$9,"Víctor")+SUMIFS('Entrega'!$I$6:$I$9,'Entrega'!$B$6:$B$9,$A41,'Entrega'!$E$6:$E$9,"Ambos")+SUMIFS('Defensa'!$I$6:$I$10,'Defensa'!$B$6:$B$10,$A41,'Defensa'!$E$6:$E$10,"Víctor")+SUMIFS('Defensa'!$I$6:$I$10,'Defensa'!$B$6:$B$10,$A41,'Defensa'!$E$6:$E$10,"Ambos")</f>
        <v/>
      </c>
      <c r="E41" s="21">
        <f>SUMIFS('S1'!$I$6:$I$32,'S1'!$B$6:$B$32,$A41,'S1'!$E$6:$E$32,"Diego")+SUMIFS('S1'!$I$6:$I$32,'S1'!$B$6:$B$32,$A41,'S1'!$E$6:$E$32,"Ambos")+SUMIFS('S2'!$I$6:$I$23,'S2'!$B$6:$B$23,$A41,'S2'!$E$6:$E$23,"Diego")+SUMIFS('S2'!$I$6:$I$23,'S2'!$B$6:$B$23,$A41,'S2'!$E$6:$E$23,"Ambos")+SUMIFS('S3'!$I$6:$I$24,'S3'!$B$6:$B$24,$A41,'S3'!$E$6:$E$24,"Diego")+SUMIFS('S3'!$I$6:$I$24,'S3'!$B$6:$B$24,$A41,'S3'!$E$6:$E$24,"Ambos")+SUMIFS('S4'!$I$6:$I$22,'S4'!$B$6:$B$22,$A41,'S4'!$E$6:$E$22,"Diego")+SUMIFS('S4'!$I$6:$I$22,'S4'!$B$6:$B$22,$A41,'S4'!$E$6:$E$22,"Ambos")+SUMIFS('S5'!$I$6:$I$20,'S5'!$B$6:$B$20,$A41,'S5'!$E$6:$E$20,"Diego")+SUMIFS('S5'!$I$6:$I$20,'S5'!$B$6:$B$20,$A41,'S5'!$E$6:$E$20,"Ambos")+SUMIFS('S6'!$I$6:$I$17,'S6'!$B$6:$B$17,$A41,'S6'!$E$6:$E$17,"Diego")+SUMIFS('S6'!$I$6:$I$17,'S6'!$B$6:$B$17,$A41,'S6'!$E$6:$E$17,"Ambos")+SUMIFS('S7'!$I$6:$I$19,'S7'!$B$6:$B$19,$A41,'S7'!$E$6:$E$19,"Diego")+SUMIFS('S7'!$I$6:$I$19,'S7'!$B$6:$B$19,$A41,'S7'!$E$6:$E$19,"Ambos")+SUMIFS('S8'!$I$6:$I$23,'S8'!$B$6:$B$23,$A41,'S8'!$E$6:$E$23,"Diego")+SUMIFS('S8'!$I$6:$I$23,'S8'!$B$6:$B$23,$A41,'S8'!$E$6:$E$23,"Ambos")+SUMIFS('S9'!$I$6:$I$15,'S9'!$B$6:$B$15,$A41,'S9'!$E$6:$E$15,"Diego")+SUMIFS('S9'!$I$6:$I$15,'S9'!$B$6:$B$15,$A41,'S9'!$E$6:$E$15,"Ambos")+SUMIFS('S10'!$I$6:$I$13,'S10'!$B$6:$B$13,$A41,'S10'!$E$6:$E$13,"Diego")+SUMIFS('S10'!$I$6:$I$13,'S10'!$B$6:$B$13,$A41,'S10'!$E$6:$E$13,"Ambos")+SUMIFS('Holgura'!$I$6:$I$11,'Holgura'!$B$6:$B$11,$A41,'Holgura'!$E$6:$E$11,"Diego")+SUMIFS('Holgura'!$I$6:$I$11,'Holgura'!$B$6:$B$11,$A41,'Holgura'!$E$6:$E$11,"Ambos")+SUMIFS('Entrega'!$I$6:$I$9,'Entrega'!$B$6:$B$9,$A41,'Entrega'!$E$6:$E$9,"Diego")+SUMIFS('Entrega'!$I$6:$I$9,'Entrega'!$B$6:$B$9,$A41,'Entrega'!$E$6:$E$9,"Ambos")+SUMIFS('Defensa'!$I$6:$I$10,'Defensa'!$B$6:$B$10,$A41,'Defensa'!$E$6:$E$10,"Diego")+SUMIFS('Defensa'!$I$6:$I$10,'Defensa'!$B$6:$B$10,$A41,'Defensa'!$E$6:$E$10,"Ambos")</f>
        <v/>
      </c>
      <c r="F41" s="21">
        <f>COUNTIFS('S1'!$B$6:$B$32,$A41,'S1'!$E$6:$E$32,"Víctor")+COUNTIFS('S1'!$B$6:$B$32,$A41,'S1'!$E$6:$E$32,"Ambos")+COUNTIFS('S2'!$B$6:$B$23,$A41,'S2'!$E$6:$E$23,"Víctor")+COUNTIFS('S2'!$B$6:$B$23,$A41,'S2'!$E$6:$E$23,"Ambos")+COUNTIFS('S3'!$B$6:$B$24,$A41,'S3'!$E$6:$E$24,"Víctor")+COUNTIFS('S3'!$B$6:$B$24,$A41,'S3'!$E$6:$E$24,"Ambos")+COUNTIFS('S4'!$B$6:$B$22,$A41,'S4'!$E$6:$E$22,"Víctor")+COUNTIFS('S4'!$B$6:$B$22,$A41,'S4'!$E$6:$E$22,"Ambos")+COUNTIFS('S5'!$B$6:$B$20,$A41,'S5'!$E$6:$E$20,"Víctor")+COUNTIFS('S5'!$B$6:$B$20,$A41,'S5'!$E$6:$E$20,"Ambos")+COUNTIFS('S6'!$B$6:$B$17,$A41,'S6'!$E$6:$E$17,"Víctor")+COUNTIFS('S6'!$B$6:$B$17,$A41,'S6'!$E$6:$E$17,"Ambos")+COUNTIFS('S7'!$B$6:$B$19,$A41,'S7'!$E$6:$E$19,"Víctor")+COUNTIFS('S7'!$B$6:$B$19,$A41,'S7'!$E$6:$E$19,"Ambos")+COUNTIFS('S8'!$B$6:$B$23,$A41,'S8'!$E$6:$E$23,"Víctor")+COUNTIFS('S8'!$B$6:$B$23,$A41,'S8'!$E$6:$E$23,"Ambos")+COUNTIFS('S9'!$B$6:$B$15,$A41,'S9'!$E$6:$E$15,"Víctor")+COUNTIFS('S9'!$B$6:$B$15,$A41,'S9'!$E$6:$E$15,"Ambos")+COUNTIFS('S10'!$B$6:$B$13,$A41,'S10'!$E$6:$E$13,"Víctor")+COUNTIFS('S10'!$B$6:$B$13,$A41,'S10'!$E$6:$E$13,"Ambos")+COUNTIFS('Holgura'!$B$6:$B$11,$A41,'Holgura'!$E$6:$E$11,"Víctor")+COUNTIFS('Holgura'!$B$6:$B$11,$A41,'Holgura'!$E$6:$E$11,"Ambos")+COUNTIFS('Entrega'!$B$6:$B$9,$A41,'Entrega'!$E$6:$E$9,"Víctor")+COUNTIFS('Entrega'!$B$6:$B$9,$A41,'Entrega'!$E$6:$E$9,"Ambos")+COUNTIFS('Defensa'!$B$6:$B$10,$A41,'Defensa'!$E$6:$E$10,"Víctor")+COUNTIFS('Defensa'!$B$6:$B$10,$A41,'Defensa'!$E$6:$E$10,"Ambos")</f>
        <v/>
      </c>
      <c r="G41" s="21">
        <f>COUNTIFS('S1'!$B$6:$B$32,$A41,'S1'!$E$6:$E$32,"Diego")+COUNTIFS('S1'!$B$6:$B$32,$A41,'S1'!$E$6:$E$32,"Ambos")+COUNTIFS('S2'!$B$6:$B$23,$A41,'S2'!$E$6:$E$23,"Diego")+COUNTIFS('S2'!$B$6:$B$23,$A41,'S2'!$E$6:$E$23,"Ambos")+COUNTIFS('S3'!$B$6:$B$24,$A41,'S3'!$E$6:$E$24,"Diego")+COUNTIFS('S3'!$B$6:$B$24,$A41,'S3'!$E$6:$E$24,"Ambos")+COUNTIFS('S4'!$B$6:$B$22,$A41,'S4'!$E$6:$E$22,"Diego")+COUNTIFS('S4'!$B$6:$B$22,$A41,'S4'!$E$6:$E$22,"Ambos")+COUNTIFS('S5'!$B$6:$B$20,$A41,'S5'!$E$6:$E$20,"Diego")+COUNTIFS('S5'!$B$6:$B$20,$A41,'S5'!$E$6:$E$20,"Ambos")+COUNTIFS('S6'!$B$6:$B$17,$A41,'S6'!$E$6:$E$17,"Diego")+COUNTIFS('S6'!$B$6:$B$17,$A41,'S6'!$E$6:$E$17,"Ambos")+COUNTIFS('S7'!$B$6:$B$19,$A41,'S7'!$E$6:$E$19,"Diego")+COUNTIFS('S7'!$B$6:$B$19,$A41,'S7'!$E$6:$E$19,"Ambos")+COUNTIFS('S8'!$B$6:$B$23,$A41,'S8'!$E$6:$E$23,"Diego")+COUNTIFS('S8'!$B$6:$B$23,$A41,'S8'!$E$6:$E$23,"Ambos")+COUNTIFS('S9'!$B$6:$B$15,$A41,'S9'!$E$6:$E$15,"Diego")+COUNTIFS('S9'!$B$6:$B$15,$A41,'S9'!$E$6:$E$15,"Ambos")+COUNTIFS('S10'!$B$6:$B$13,$A41,'S10'!$E$6:$E$13,"Diego")+COUNTIFS('S10'!$B$6:$B$13,$A41,'S10'!$E$6:$E$13,"Ambos")+COUNTIFS('Holgura'!$B$6:$B$11,$A41,'Holgura'!$E$6:$E$11,"Diego")+COUNTIFS('Holgura'!$B$6:$B$11,$A41,'Holgura'!$E$6:$E$11,"Ambos")+COUNTIFS('Entrega'!$B$6:$B$9,$A41,'Entrega'!$E$6:$E$9,"Diego")+COUNTIFS('Entrega'!$B$6:$B$9,$A41,'Entrega'!$E$6:$E$9,"Ambos")+COUNTIFS('Defensa'!$B$6:$B$10,$A41,'Defensa'!$E$6:$E$10,"Diego")+COUNTIFS('Defensa'!$B$6:$B$10,$A41,'Defensa'!$E$6:$E$10,"Ambos")</f>
        <v/>
      </c>
    </row>
    <row r="42">
      <c r="A42" s="25" t="n">
        <v>46344</v>
      </c>
      <c r="B42" s="26">
        <f>A42</f>
        <v/>
      </c>
      <c r="C42" s="21">
        <f>IF(WEEKDAY(A42,2)&gt;5,4,2)</f>
        <v/>
      </c>
      <c r="D42" s="21">
        <f>SUMIFS('S1'!$I$6:$I$32,'S1'!$B$6:$B$32,$A42,'S1'!$E$6:$E$32,"Víctor")+SUMIFS('S1'!$I$6:$I$32,'S1'!$B$6:$B$32,$A42,'S1'!$E$6:$E$32,"Ambos")+SUMIFS('S2'!$I$6:$I$23,'S2'!$B$6:$B$23,$A42,'S2'!$E$6:$E$23,"Víctor")+SUMIFS('S2'!$I$6:$I$23,'S2'!$B$6:$B$23,$A42,'S2'!$E$6:$E$23,"Ambos")+SUMIFS('S3'!$I$6:$I$24,'S3'!$B$6:$B$24,$A42,'S3'!$E$6:$E$24,"Víctor")+SUMIFS('S3'!$I$6:$I$24,'S3'!$B$6:$B$24,$A42,'S3'!$E$6:$E$24,"Ambos")+SUMIFS('S4'!$I$6:$I$22,'S4'!$B$6:$B$22,$A42,'S4'!$E$6:$E$22,"Víctor")+SUMIFS('S4'!$I$6:$I$22,'S4'!$B$6:$B$22,$A42,'S4'!$E$6:$E$22,"Ambos")+SUMIFS('S5'!$I$6:$I$20,'S5'!$B$6:$B$20,$A42,'S5'!$E$6:$E$20,"Víctor")+SUMIFS('S5'!$I$6:$I$20,'S5'!$B$6:$B$20,$A42,'S5'!$E$6:$E$20,"Ambos")+SUMIFS('S6'!$I$6:$I$17,'S6'!$B$6:$B$17,$A42,'S6'!$E$6:$E$17,"Víctor")+SUMIFS('S6'!$I$6:$I$17,'S6'!$B$6:$B$17,$A42,'S6'!$E$6:$E$17,"Ambos")+SUMIFS('S7'!$I$6:$I$19,'S7'!$B$6:$B$19,$A42,'S7'!$E$6:$E$19,"Víctor")+SUMIFS('S7'!$I$6:$I$19,'S7'!$B$6:$B$19,$A42,'S7'!$E$6:$E$19,"Ambos")+SUMIFS('S8'!$I$6:$I$23,'S8'!$B$6:$B$23,$A42,'S8'!$E$6:$E$23,"Víctor")+SUMIFS('S8'!$I$6:$I$23,'S8'!$B$6:$B$23,$A42,'S8'!$E$6:$E$23,"Ambos")+SUMIFS('S9'!$I$6:$I$15,'S9'!$B$6:$B$15,$A42,'S9'!$E$6:$E$15,"Víctor")+SUMIFS('S9'!$I$6:$I$15,'S9'!$B$6:$B$15,$A42,'S9'!$E$6:$E$15,"Ambos")+SUMIFS('S10'!$I$6:$I$13,'S10'!$B$6:$B$13,$A42,'S10'!$E$6:$E$13,"Víctor")+SUMIFS('S10'!$I$6:$I$13,'S10'!$B$6:$B$13,$A42,'S10'!$E$6:$E$13,"Ambos")+SUMIFS('Holgura'!$I$6:$I$11,'Holgura'!$B$6:$B$11,$A42,'Holgura'!$E$6:$E$11,"Víctor")+SUMIFS('Holgura'!$I$6:$I$11,'Holgura'!$B$6:$B$11,$A42,'Holgura'!$E$6:$E$11,"Ambos")+SUMIFS('Entrega'!$I$6:$I$9,'Entrega'!$B$6:$B$9,$A42,'Entrega'!$E$6:$E$9,"Víctor")+SUMIFS('Entrega'!$I$6:$I$9,'Entrega'!$B$6:$B$9,$A42,'Entrega'!$E$6:$E$9,"Ambos")+SUMIFS('Defensa'!$I$6:$I$10,'Defensa'!$B$6:$B$10,$A42,'Defensa'!$E$6:$E$10,"Víctor")+SUMIFS('Defensa'!$I$6:$I$10,'Defensa'!$B$6:$B$10,$A42,'Defensa'!$E$6:$E$10,"Ambos")</f>
        <v/>
      </c>
      <c r="E42" s="21">
        <f>SUMIFS('S1'!$I$6:$I$32,'S1'!$B$6:$B$32,$A42,'S1'!$E$6:$E$32,"Diego")+SUMIFS('S1'!$I$6:$I$32,'S1'!$B$6:$B$32,$A42,'S1'!$E$6:$E$32,"Ambos")+SUMIFS('S2'!$I$6:$I$23,'S2'!$B$6:$B$23,$A42,'S2'!$E$6:$E$23,"Diego")+SUMIFS('S2'!$I$6:$I$23,'S2'!$B$6:$B$23,$A42,'S2'!$E$6:$E$23,"Ambos")+SUMIFS('S3'!$I$6:$I$24,'S3'!$B$6:$B$24,$A42,'S3'!$E$6:$E$24,"Diego")+SUMIFS('S3'!$I$6:$I$24,'S3'!$B$6:$B$24,$A42,'S3'!$E$6:$E$24,"Ambos")+SUMIFS('S4'!$I$6:$I$22,'S4'!$B$6:$B$22,$A42,'S4'!$E$6:$E$22,"Diego")+SUMIFS('S4'!$I$6:$I$22,'S4'!$B$6:$B$22,$A42,'S4'!$E$6:$E$22,"Ambos")+SUMIFS('S5'!$I$6:$I$20,'S5'!$B$6:$B$20,$A42,'S5'!$E$6:$E$20,"Diego")+SUMIFS('S5'!$I$6:$I$20,'S5'!$B$6:$B$20,$A42,'S5'!$E$6:$E$20,"Ambos")+SUMIFS('S6'!$I$6:$I$17,'S6'!$B$6:$B$17,$A42,'S6'!$E$6:$E$17,"Diego")+SUMIFS('S6'!$I$6:$I$17,'S6'!$B$6:$B$17,$A42,'S6'!$E$6:$E$17,"Ambos")+SUMIFS('S7'!$I$6:$I$19,'S7'!$B$6:$B$19,$A42,'S7'!$E$6:$E$19,"Diego")+SUMIFS('S7'!$I$6:$I$19,'S7'!$B$6:$B$19,$A42,'S7'!$E$6:$E$19,"Ambos")+SUMIFS('S8'!$I$6:$I$23,'S8'!$B$6:$B$23,$A42,'S8'!$E$6:$E$23,"Diego")+SUMIFS('S8'!$I$6:$I$23,'S8'!$B$6:$B$23,$A42,'S8'!$E$6:$E$23,"Ambos")+SUMIFS('S9'!$I$6:$I$15,'S9'!$B$6:$B$15,$A42,'S9'!$E$6:$E$15,"Diego")+SUMIFS('S9'!$I$6:$I$15,'S9'!$B$6:$B$15,$A42,'S9'!$E$6:$E$15,"Ambos")+SUMIFS('S10'!$I$6:$I$13,'S10'!$B$6:$B$13,$A42,'S10'!$E$6:$E$13,"Diego")+SUMIFS('S10'!$I$6:$I$13,'S10'!$B$6:$B$13,$A42,'S10'!$E$6:$E$13,"Ambos")+SUMIFS('Holgura'!$I$6:$I$11,'Holgura'!$B$6:$B$11,$A42,'Holgura'!$E$6:$E$11,"Diego")+SUMIFS('Holgura'!$I$6:$I$11,'Holgura'!$B$6:$B$11,$A42,'Holgura'!$E$6:$E$11,"Ambos")+SUMIFS('Entrega'!$I$6:$I$9,'Entrega'!$B$6:$B$9,$A42,'Entrega'!$E$6:$E$9,"Diego")+SUMIFS('Entrega'!$I$6:$I$9,'Entrega'!$B$6:$B$9,$A42,'Entrega'!$E$6:$E$9,"Ambos")+SUMIFS('Defensa'!$I$6:$I$10,'Defensa'!$B$6:$B$10,$A42,'Defensa'!$E$6:$E$10,"Diego")+SUMIFS('Defensa'!$I$6:$I$10,'Defensa'!$B$6:$B$10,$A42,'Defensa'!$E$6:$E$10,"Ambos")</f>
        <v/>
      </c>
      <c r="F42" s="21">
        <f>COUNTIFS('S1'!$B$6:$B$32,$A42,'S1'!$E$6:$E$32,"Víctor")+COUNTIFS('S1'!$B$6:$B$32,$A42,'S1'!$E$6:$E$32,"Ambos")+COUNTIFS('S2'!$B$6:$B$23,$A42,'S2'!$E$6:$E$23,"Víctor")+COUNTIFS('S2'!$B$6:$B$23,$A42,'S2'!$E$6:$E$23,"Ambos")+COUNTIFS('S3'!$B$6:$B$24,$A42,'S3'!$E$6:$E$24,"Víctor")+COUNTIFS('S3'!$B$6:$B$24,$A42,'S3'!$E$6:$E$24,"Ambos")+COUNTIFS('S4'!$B$6:$B$22,$A42,'S4'!$E$6:$E$22,"Víctor")+COUNTIFS('S4'!$B$6:$B$22,$A42,'S4'!$E$6:$E$22,"Ambos")+COUNTIFS('S5'!$B$6:$B$20,$A42,'S5'!$E$6:$E$20,"Víctor")+COUNTIFS('S5'!$B$6:$B$20,$A42,'S5'!$E$6:$E$20,"Ambos")+COUNTIFS('S6'!$B$6:$B$17,$A42,'S6'!$E$6:$E$17,"Víctor")+COUNTIFS('S6'!$B$6:$B$17,$A42,'S6'!$E$6:$E$17,"Ambos")+COUNTIFS('S7'!$B$6:$B$19,$A42,'S7'!$E$6:$E$19,"Víctor")+COUNTIFS('S7'!$B$6:$B$19,$A42,'S7'!$E$6:$E$19,"Ambos")+COUNTIFS('S8'!$B$6:$B$23,$A42,'S8'!$E$6:$E$23,"Víctor")+COUNTIFS('S8'!$B$6:$B$23,$A42,'S8'!$E$6:$E$23,"Ambos")+COUNTIFS('S9'!$B$6:$B$15,$A42,'S9'!$E$6:$E$15,"Víctor")+COUNTIFS('S9'!$B$6:$B$15,$A42,'S9'!$E$6:$E$15,"Ambos")+COUNTIFS('S10'!$B$6:$B$13,$A42,'S10'!$E$6:$E$13,"Víctor")+COUNTIFS('S10'!$B$6:$B$13,$A42,'S10'!$E$6:$E$13,"Ambos")+COUNTIFS('Holgura'!$B$6:$B$11,$A42,'Holgura'!$E$6:$E$11,"Víctor")+COUNTIFS('Holgura'!$B$6:$B$11,$A42,'Holgura'!$E$6:$E$11,"Ambos")+COUNTIFS('Entrega'!$B$6:$B$9,$A42,'Entrega'!$E$6:$E$9,"Víctor")+COUNTIFS('Entrega'!$B$6:$B$9,$A42,'Entrega'!$E$6:$E$9,"Ambos")+COUNTIFS('Defensa'!$B$6:$B$10,$A42,'Defensa'!$E$6:$E$10,"Víctor")+COUNTIFS('Defensa'!$B$6:$B$10,$A42,'Defensa'!$E$6:$E$10,"Ambos")</f>
        <v/>
      </c>
      <c r="G42" s="21">
        <f>COUNTIFS('S1'!$B$6:$B$32,$A42,'S1'!$E$6:$E$32,"Diego")+COUNTIFS('S1'!$B$6:$B$32,$A42,'S1'!$E$6:$E$32,"Ambos")+COUNTIFS('S2'!$B$6:$B$23,$A42,'S2'!$E$6:$E$23,"Diego")+COUNTIFS('S2'!$B$6:$B$23,$A42,'S2'!$E$6:$E$23,"Ambos")+COUNTIFS('S3'!$B$6:$B$24,$A42,'S3'!$E$6:$E$24,"Diego")+COUNTIFS('S3'!$B$6:$B$24,$A42,'S3'!$E$6:$E$24,"Ambos")+COUNTIFS('S4'!$B$6:$B$22,$A42,'S4'!$E$6:$E$22,"Diego")+COUNTIFS('S4'!$B$6:$B$22,$A42,'S4'!$E$6:$E$22,"Ambos")+COUNTIFS('S5'!$B$6:$B$20,$A42,'S5'!$E$6:$E$20,"Diego")+COUNTIFS('S5'!$B$6:$B$20,$A42,'S5'!$E$6:$E$20,"Ambos")+COUNTIFS('S6'!$B$6:$B$17,$A42,'S6'!$E$6:$E$17,"Diego")+COUNTIFS('S6'!$B$6:$B$17,$A42,'S6'!$E$6:$E$17,"Ambos")+COUNTIFS('S7'!$B$6:$B$19,$A42,'S7'!$E$6:$E$19,"Diego")+COUNTIFS('S7'!$B$6:$B$19,$A42,'S7'!$E$6:$E$19,"Ambos")+COUNTIFS('S8'!$B$6:$B$23,$A42,'S8'!$E$6:$E$23,"Diego")+COUNTIFS('S8'!$B$6:$B$23,$A42,'S8'!$E$6:$E$23,"Ambos")+COUNTIFS('S9'!$B$6:$B$15,$A42,'S9'!$E$6:$E$15,"Diego")+COUNTIFS('S9'!$B$6:$B$15,$A42,'S9'!$E$6:$E$15,"Ambos")+COUNTIFS('S10'!$B$6:$B$13,$A42,'S10'!$E$6:$E$13,"Diego")+COUNTIFS('S10'!$B$6:$B$13,$A42,'S10'!$E$6:$E$13,"Ambos")+COUNTIFS('Holgura'!$B$6:$B$11,$A42,'Holgura'!$E$6:$E$11,"Diego")+COUNTIFS('Holgura'!$B$6:$B$11,$A42,'Holgura'!$E$6:$E$11,"Ambos")+COUNTIFS('Entrega'!$B$6:$B$9,$A42,'Entrega'!$E$6:$E$9,"Diego")+COUNTIFS('Entrega'!$B$6:$B$9,$A42,'Entrega'!$E$6:$E$9,"Ambos")+COUNTIFS('Defensa'!$B$6:$B$10,$A42,'Defensa'!$E$6:$E$10,"Diego")+COUNTIFS('Defensa'!$B$6:$B$10,$A42,'Defensa'!$E$6:$E$10,"Ambos")</f>
        <v/>
      </c>
    </row>
    <row r="43">
      <c r="A43" s="25" t="n">
        <v>46345</v>
      </c>
      <c r="B43" s="26">
        <f>A43</f>
        <v/>
      </c>
      <c r="C43" s="21">
        <f>IF(WEEKDAY(A43,2)&gt;5,4,2)</f>
        <v/>
      </c>
      <c r="D43" s="21">
        <f>SUMIFS('S1'!$I$6:$I$32,'S1'!$B$6:$B$32,$A43,'S1'!$E$6:$E$32,"Víctor")+SUMIFS('S1'!$I$6:$I$32,'S1'!$B$6:$B$32,$A43,'S1'!$E$6:$E$32,"Ambos")+SUMIFS('S2'!$I$6:$I$23,'S2'!$B$6:$B$23,$A43,'S2'!$E$6:$E$23,"Víctor")+SUMIFS('S2'!$I$6:$I$23,'S2'!$B$6:$B$23,$A43,'S2'!$E$6:$E$23,"Ambos")+SUMIFS('S3'!$I$6:$I$24,'S3'!$B$6:$B$24,$A43,'S3'!$E$6:$E$24,"Víctor")+SUMIFS('S3'!$I$6:$I$24,'S3'!$B$6:$B$24,$A43,'S3'!$E$6:$E$24,"Ambos")+SUMIFS('S4'!$I$6:$I$22,'S4'!$B$6:$B$22,$A43,'S4'!$E$6:$E$22,"Víctor")+SUMIFS('S4'!$I$6:$I$22,'S4'!$B$6:$B$22,$A43,'S4'!$E$6:$E$22,"Ambos")+SUMIFS('S5'!$I$6:$I$20,'S5'!$B$6:$B$20,$A43,'S5'!$E$6:$E$20,"Víctor")+SUMIFS('S5'!$I$6:$I$20,'S5'!$B$6:$B$20,$A43,'S5'!$E$6:$E$20,"Ambos")+SUMIFS('S6'!$I$6:$I$17,'S6'!$B$6:$B$17,$A43,'S6'!$E$6:$E$17,"Víctor")+SUMIFS('S6'!$I$6:$I$17,'S6'!$B$6:$B$17,$A43,'S6'!$E$6:$E$17,"Ambos")+SUMIFS('S7'!$I$6:$I$19,'S7'!$B$6:$B$19,$A43,'S7'!$E$6:$E$19,"Víctor")+SUMIFS('S7'!$I$6:$I$19,'S7'!$B$6:$B$19,$A43,'S7'!$E$6:$E$19,"Ambos")+SUMIFS('S8'!$I$6:$I$23,'S8'!$B$6:$B$23,$A43,'S8'!$E$6:$E$23,"Víctor")+SUMIFS('S8'!$I$6:$I$23,'S8'!$B$6:$B$23,$A43,'S8'!$E$6:$E$23,"Ambos")+SUMIFS('S9'!$I$6:$I$15,'S9'!$B$6:$B$15,$A43,'S9'!$E$6:$E$15,"Víctor")+SUMIFS('S9'!$I$6:$I$15,'S9'!$B$6:$B$15,$A43,'S9'!$E$6:$E$15,"Ambos")+SUMIFS('S10'!$I$6:$I$13,'S10'!$B$6:$B$13,$A43,'S10'!$E$6:$E$13,"Víctor")+SUMIFS('S10'!$I$6:$I$13,'S10'!$B$6:$B$13,$A43,'S10'!$E$6:$E$13,"Ambos")+SUMIFS('Holgura'!$I$6:$I$11,'Holgura'!$B$6:$B$11,$A43,'Holgura'!$E$6:$E$11,"Víctor")+SUMIFS('Holgura'!$I$6:$I$11,'Holgura'!$B$6:$B$11,$A43,'Holgura'!$E$6:$E$11,"Ambos")+SUMIFS('Entrega'!$I$6:$I$9,'Entrega'!$B$6:$B$9,$A43,'Entrega'!$E$6:$E$9,"Víctor")+SUMIFS('Entrega'!$I$6:$I$9,'Entrega'!$B$6:$B$9,$A43,'Entrega'!$E$6:$E$9,"Ambos")+SUMIFS('Defensa'!$I$6:$I$10,'Defensa'!$B$6:$B$10,$A43,'Defensa'!$E$6:$E$10,"Víctor")+SUMIFS('Defensa'!$I$6:$I$10,'Defensa'!$B$6:$B$10,$A43,'Defensa'!$E$6:$E$10,"Ambos")</f>
        <v/>
      </c>
      <c r="E43" s="21">
        <f>SUMIFS('S1'!$I$6:$I$32,'S1'!$B$6:$B$32,$A43,'S1'!$E$6:$E$32,"Diego")+SUMIFS('S1'!$I$6:$I$32,'S1'!$B$6:$B$32,$A43,'S1'!$E$6:$E$32,"Ambos")+SUMIFS('S2'!$I$6:$I$23,'S2'!$B$6:$B$23,$A43,'S2'!$E$6:$E$23,"Diego")+SUMIFS('S2'!$I$6:$I$23,'S2'!$B$6:$B$23,$A43,'S2'!$E$6:$E$23,"Ambos")+SUMIFS('S3'!$I$6:$I$24,'S3'!$B$6:$B$24,$A43,'S3'!$E$6:$E$24,"Diego")+SUMIFS('S3'!$I$6:$I$24,'S3'!$B$6:$B$24,$A43,'S3'!$E$6:$E$24,"Ambos")+SUMIFS('S4'!$I$6:$I$22,'S4'!$B$6:$B$22,$A43,'S4'!$E$6:$E$22,"Diego")+SUMIFS('S4'!$I$6:$I$22,'S4'!$B$6:$B$22,$A43,'S4'!$E$6:$E$22,"Ambos")+SUMIFS('S5'!$I$6:$I$20,'S5'!$B$6:$B$20,$A43,'S5'!$E$6:$E$20,"Diego")+SUMIFS('S5'!$I$6:$I$20,'S5'!$B$6:$B$20,$A43,'S5'!$E$6:$E$20,"Ambos")+SUMIFS('S6'!$I$6:$I$17,'S6'!$B$6:$B$17,$A43,'S6'!$E$6:$E$17,"Diego")+SUMIFS('S6'!$I$6:$I$17,'S6'!$B$6:$B$17,$A43,'S6'!$E$6:$E$17,"Ambos")+SUMIFS('S7'!$I$6:$I$19,'S7'!$B$6:$B$19,$A43,'S7'!$E$6:$E$19,"Diego")+SUMIFS('S7'!$I$6:$I$19,'S7'!$B$6:$B$19,$A43,'S7'!$E$6:$E$19,"Ambos")+SUMIFS('S8'!$I$6:$I$23,'S8'!$B$6:$B$23,$A43,'S8'!$E$6:$E$23,"Diego")+SUMIFS('S8'!$I$6:$I$23,'S8'!$B$6:$B$23,$A43,'S8'!$E$6:$E$23,"Ambos")+SUMIFS('S9'!$I$6:$I$15,'S9'!$B$6:$B$15,$A43,'S9'!$E$6:$E$15,"Diego")+SUMIFS('S9'!$I$6:$I$15,'S9'!$B$6:$B$15,$A43,'S9'!$E$6:$E$15,"Ambos")+SUMIFS('S10'!$I$6:$I$13,'S10'!$B$6:$B$13,$A43,'S10'!$E$6:$E$13,"Diego")+SUMIFS('S10'!$I$6:$I$13,'S10'!$B$6:$B$13,$A43,'S10'!$E$6:$E$13,"Ambos")+SUMIFS('Holgura'!$I$6:$I$11,'Holgura'!$B$6:$B$11,$A43,'Holgura'!$E$6:$E$11,"Diego")+SUMIFS('Holgura'!$I$6:$I$11,'Holgura'!$B$6:$B$11,$A43,'Holgura'!$E$6:$E$11,"Ambos")+SUMIFS('Entrega'!$I$6:$I$9,'Entrega'!$B$6:$B$9,$A43,'Entrega'!$E$6:$E$9,"Diego")+SUMIFS('Entrega'!$I$6:$I$9,'Entrega'!$B$6:$B$9,$A43,'Entrega'!$E$6:$E$9,"Ambos")+SUMIFS('Defensa'!$I$6:$I$10,'Defensa'!$B$6:$B$10,$A43,'Defensa'!$E$6:$E$10,"Diego")+SUMIFS('Defensa'!$I$6:$I$10,'Defensa'!$B$6:$B$10,$A43,'Defensa'!$E$6:$E$10,"Ambos")</f>
        <v/>
      </c>
      <c r="F43" s="21">
        <f>COUNTIFS('S1'!$B$6:$B$32,$A43,'S1'!$E$6:$E$32,"Víctor")+COUNTIFS('S1'!$B$6:$B$32,$A43,'S1'!$E$6:$E$32,"Ambos")+COUNTIFS('S2'!$B$6:$B$23,$A43,'S2'!$E$6:$E$23,"Víctor")+COUNTIFS('S2'!$B$6:$B$23,$A43,'S2'!$E$6:$E$23,"Ambos")+COUNTIFS('S3'!$B$6:$B$24,$A43,'S3'!$E$6:$E$24,"Víctor")+COUNTIFS('S3'!$B$6:$B$24,$A43,'S3'!$E$6:$E$24,"Ambos")+COUNTIFS('S4'!$B$6:$B$22,$A43,'S4'!$E$6:$E$22,"Víctor")+COUNTIFS('S4'!$B$6:$B$22,$A43,'S4'!$E$6:$E$22,"Ambos")+COUNTIFS('S5'!$B$6:$B$20,$A43,'S5'!$E$6:$E$20,"Víctor")+COUNTIFS('S5'!$B$6:$B$20,$A43,'S5'!$E$6:$E$20,"Ambos")+COUNTIFS('S6'!$B$6:$B$17,$A43,'S6'!$E$6:$E$17,"Víctor")+COUNTIFS('S6'!$B$6:$B$17,$A43,'S6'!$E$6:$E$17,"Ambos")+COUNTIFS('S7'!$B$6:$B$19,$A43,'S7'!$E$6:$E$19,"Víctor")+COUNTIFS('S7'!$B$6:$B$19,$A43,'S7'!$E$6:$E$19,"Ambos")+COUNTIFS('S8'!$B$6:$B$23,$A43,'S8'!$E$6:$E$23,"Víctor")+COUNTIFS('S8'!$B$6:$B$23,$A43,'S8'!$E$6:$E$23,"Ambos")+COUNTIFS('S9'!$B$6:$B$15,$A43,'S9'!$E$6:$E$15,"Víctor")+COUNTIFS('S9'!$B$6:$B$15,$A43,'S9'!$E$6:$E$15,"Ambos")+COUNTIFS('S10'!$B$6:$B$13,$A43,'S10'!$E$6:$E$13,"Víctor")+COUNTIFS('S10'!$B$6:$B$13,$A43,'S10'!$E$6:$E$13,"Ambos")+COUNTIFS('Holgura'!$B$6:$B$11,$A43,'Holgura'!$E$6:$E$11,"Víctor")+COUNTIFS('Holgura'!$B$6:$B$11,$A43,'Holgura'!$E$6:$E$11,"Ambos")+COUNTIFS('Entrega'!$B$6:$B$9,$A43,'Entrega'!$E$6:$E$9,"Víctor")+COUNTIFS('Entrega'!$B$6:$B$9,$A43,'Entrega'!$E$6:$E$9,"Ambos")+COUNTIFS('Defensa'!$B$6:$B$10,$A43,'Defensa'!$E$6:$E$10,"Víctor")+COUNTIFS('Defensa'!$B$6:$B$10,$A43,'Defensa'!$E$6:$E$10,"Ambos")</f>
        <v/>
      </c>
      <c r="G43" s="21">
        <f>COUNTIFS('S1'!$B$6:$B$32,$A43,'S1'!$E$6:$E$32,"Diego")+COUNTIFS('S1'!$B$6:$B$32,$A43,'S1'!$E$6:$E$32,"Ambos")+COUNTIFS('S2'!$B$6:$B$23,$A43,'S2'!$E$6:$E$23,"Diego")+COUNTIFS('S2'!$B$6:$B$23,$A43,'S2'!$E$6:$E$23,"Ambos")+COUNTIFS('S3'!$B$6:$B$24,$A43,'S3'!$E$6:$E$24,"Diego")+COUNTIFS('S3'!$B$6:$B$24,$A43,'S3'!$E$6:$E$24,"Ambos")+COUNTIFS('S4'!$B$6:$B$22,$A43,'S4'!$E$6:$E$22,"Diego")+COUNTIFS('S4'!$B$6:$B$22,$A43,'S4'!$E$6:$E$22,"Ambos")+COUNTIFS('S5'!$B$6:$B$20,$A43,'S5'!$E$6:$E$20,"Diego")+COUNTIFS('S5'!$B$6:$B$20,$A43,'S5'!$E$6:$E$20,"Ambos")+COUNTIFS('S6'!$B$6:$B$17,$A43,'S6'!$E$6:$E$17,"Diego")+COUNTIFS('S6'!$B$6:$B$17,$A43,'S6'!$E$6:$E$17,"Ambos")+COUNTIFS('S7'!$B$6:$B$19,$A43,'S7'!$E$6:$E$19,"Diego")+COUNTIFS('S7'!$B$6:$B$19,$A43,'S7'!$E$6:$E$19,"Ambos")+COUNTIFS('S8'!$B$6:$B$23,$A43,'S8'!$E$6:$E$23,"Diego")+COUNTIFS('S8'!$B$6:$B$23,$A43,'S8'!$E$6:$E$23,"Ambos")+COUNTIFS('S9'!$B$6:$B$15,$A43,'S9'!$E$6:$E$15,"Diego")+COUNTIFS('S9'!$B$6:$B$15,$A43,'S9'!$E$6:$E$15,"Ambos")+COUNTIFS('S10'!$B$6:$B$13,$A43,'S10'!$E$6:$E$13,"Diego")+COUNTIFS('S10'!$B$6:$B$13,$A43,'S10'!$E$6:$E$13,"Ambos")+COUNTIFS('Holgura'!$B$6:$B$11,$A43,'Holgura'!$E$6:$E$11,"Diego")+COUNTIFS('Holgura'!$B$6:$B$11,$A43,'Holgura'!$E$6:$E$11,"Ambos")+COUNTIFS('Entrega'!$B$6:$B$9,$A43,'Entrega'!$E$6:$E$9,"Diego")+COUNTIFS('Entrega'!$B$6:$B$9,$A43,'Entrega'!$E$6:$E$9,"Ambos")+COUNTIFS('Defensa'!$B$6:$B$10,$A43,'Defensa'!$E$6:$E$10,"Diego")+COUNTIFS('Defensa'!$B$6:$B$10,$A43,'Defensa'!$E$6:$E$10,"Ambos")</f>
        <v/>
      </c>
    </row>
    <row r="44">
      <c r="A44" s="25" t="n">
        <v>46346</v>
      </c>
      <c r="B44" s="26">
        <f>A44</f>
        <v/>
      </c>
      <c r="C44" s="21">
        <f>IF(WEEKDAY(A44,2)&gt;5,4,2)</f>
        <v/>
      </c>
      <c r="D44" s="21">
        <f>SUMIFS('S1'!$I$6:$I$32,'S1'!$B$6:$B$32,$A44,'S1'!$E$6:$E$32,"Víctor")+SUMIFS('S1'!$I$6:$I$32,'S1'!$B$6:$B$32,$A44,'S1'!$E$6:$E$32,"Ambos")+SUMIFS('S2'!$I$6:$I$23,'S2'!$B$6:$B$23,$A44,'S2'!$E$6:$E$23,"Víctor")+SUMIFS('S2'!$I$6:$I$23,'S2'!$B$6:$B$23,$A44,'S2'!$E$6:$E$23,"Ambos")+SUMIFS('S3'!$I$6:$I$24,'S3'!$B$6:$B$24,$A44,'S3'!$E$6:$E$24,"Víctor")+SUMIFS('S3'!$I$6:$I$24,'S3'!$B$6:$B$24,$A44,'S3'!$E$6:$E$24,"Ambos")+SUMIFS('S4'!$I$6:$I$22,'S4'!$B$6:$B$22,$A44,'S4'!$E$6:$E$22,"Víctor")+SUMIFS('S4'!$I$6:$I$22,'S4'!$B$6:$B$22,$A44,'S4'!$E$6:$E$22,"Ambos")+SUMIFS('S5'!$I$6:$I$20,'S5'!$B$6:$B$20,$A44,'S5'!$E$6:$E$20,"Víctor")+SUMIFS('S5'!$I$6:$I$20,'S5'!$B$6:$B$20,$A44,'S5'!$E$6:$E$20,"Ambos")+SUMIFS('S6'!$I$6:$I$17,'S6'!$B$6:$B$17,$A44,'S6'!$E$6:$E$17,"Víctor")+SUMIFS('S6'!$I$6:$I$17,'S6'!$B$6:$B$17,$A44,'S6'!$E$6:$E$17,"Ambos")+SUMIFS('S7'!$I$6:$I$19,'S7'!$B$6:$B$19,$A44,'S7'!$E$6:$E$19,"Víctor")+SUMIFS('S7'!$I$6:$I$19,'S7'!$B$6:$B$19,$A44,'S7'!$E$6:$E$19,"Ambos")+SUMIFS('S8'!$I$6:$I$23,'S8'!$B$6:$B$23,$A44,'S8'!$E$6:$E$23,"Víctor")+SUMIFS('S8'!$I$6:$I$23,'S8'!$B$6:$B$23,$A44,'S8'!$E$6:$E$23,"Ambos")+SUMIFS('S9'!$I$6:$I$15,'S9'!$B$6:$B$15,$A44,'S9'!$E$6:$E$15,"Víctor")+SUMIFS('S9'!$I$6:$I$15,'S9'!$B$6:$B$15,$A44,'S9'!$E$6:$E$15,"Ambos")+SUMIFS('S10'!$I$6:$I$13,'S10'!$B$6:$B$13,$A44,'S10'!$E$6:$E$13,"Víctor")+SUMIFS('S10'!$I$6:$I$13,'S10'!$B$6:$B$13,$A44,'S10'!$E$6:$E$13,"Ambos")+SUMIFS('Holgura'!$I$6:$I$11,'Holgura'!$B$6:$B$11,$A44,'Holgura'!$E$6:$E$11,"Víctor")+SUMIFS('Holgura'!$I$6:$I$11,'Holgura'!$B$6:$B$11,$A44,'Holgura'!$E$6:$E$11,"Ambos")+SUMIFS('Entrega'!$I$6:$I$9,'Entrega'!$B$6:$B$9,$A44,'Entrega'!$E$6:$E$9,"Víctor")+SUMIFS('Entrega'!$I$6:$I$9,'Entrega'!$B$6:$B$9,$A44,'Entrega'!$E$6:$E$9,"Ambos")+SUMIFS('Defensa'!$I$6:$I$10,'Defensa'!$B$6:$B$10,$A44,'Defensa'!$E$6:$E$10,"Víctor")+SUMIFS('Defensa'!$I$6:$I$10,'Defensa'!$B$6:$B$10,$A44,'Defensa'!$E$6:$E$10,"Ambos")</f>
        <v/>
      </c>
      <c r="E44" s="21">
        <f>SUMIFS('S1'!$I$6:$I$32,'S1'!$B$6:$B$32,$A44,'S1'!$E$6:$E$32,"Diego")+SUMIFS('S1'!$I$6:$I$32,'S1'!$B$6:$B$32,$A44,'S1'!$E$6:$E$32,"Ambos")+SUMIFS('S2'!$I$6:$I$23,'S2'!$B$6:$B$23,$A44,'S2'!$E$6:$E$23,"Diego")+SUMIFS('S2'!$I$6:$I$23,'S2'!$B$6:$B$23,$A44,'S2'!$E$6:$E$23,"Ambos")+SUMIFS('S3'!$I$6:$I$24,'S3'!$B$6:$B$24,$A44,'S3'!$E$6:$E$24,"Diego")+SUMIFS('S3'!$I$6:$I$24,'S3'!$B$6:$B$24,$A44,'S3'!$E$6:$E$24,"Ambos")+SUMIFS('S4'!$I$6:$I$22,'S4'!$B$6:$B$22,$A44,'S4'!$E$6:$E$22,"Diego")+SUMIFS('S4'!$I$6:$I$22,'S4'!$B$6:$B$22,$A44,'S4'!$E$6:$E$22,"Ambos")+SUMIFS('S5'!$I$6:$I$20,'S5'!$B$6:$B$20,$A44,'S5'!$E$6:$E$20,"Diego")+SUMIFS('S5'!$I$6:$I$20,'S5'!$B$6:$B$20,$A44,'S5'!$E$6:$E$20,"Ambos")+SUMIFS('S6'!$I$6:$I$17,'S6'!$B$6:$B$17,$A44,'S6'!$E$6:$E$17,"Diego")+SUMIFS('S6'!$I$6:$I$17,'S6'!$B$6:$B$17,$A44,'S6'!$E$6:$E$17,"Ambos")+SUMIFS('S7'!$I$6:$I$19,'S7'!$B$6:$B$19,$A44,'S7'!$E$6:$E$19,"Diego")+SUMIFS('S7'!$I$6:$I$19,'S7'!$B$6:$B$19,$A44,'S7'!$E$6:$E$19,"Ambos")+SUMIFS('S8'!$I$6:$I$23,'S8'!$B$6:$B$23,$A44,'S8'!$E$6:$E$23,"Diego")+SUMIFS('S8'!$I$6:$I$23,'S8'!$B$6:$B$23,$A44,'S8'!$E$6:$E$23,"Ambos")+SUMIFS('S9'!$I$6:$I$15,'S9'!$B$6:$B$15,$A44,'S9'!$E$6:$E$15,"Diego")+SUMIFS('S9'!$I$6:$I$15,'S9'!$B$6:$B$15,$A44,'S9'!$E$6:$E$15,"Ambos")+SUMIFS('S10'!$I$6:$I$13,'S10'!$B$6:$B$13,$A44,'S10'!$E$6:$E$13,"Diego")+SUMIFS('S10'!$I$6:$I$13,'S10'!$B$6:$B$13,$A44,'S10'!$E$6:$E$13,"Ambos")+SUMIFS('Holgura'!$I$6:$I$11,'Holgura'!$B$6:$B$11,$A44,'Holgura'!$E$6:$E$11,"Diego")+SUMIFS('Holgura'!$I$6:$I$11,'Holgura'!$B$6:$B$11,$A44,'Holgura'!$E$6:$E$11,"Ambos")+SUMIFS('Entrega'!$I$6:$I$9,'Entrega'!$B$6:$B$9,$A44,'Entrega'!$E$6:$E$9,"Diego")+SUMIFS('Entrega'!$I$6:$I$9,'Entrega'!$B$6:$B$9,$A44,'Entrega'!$E$6:$E$9,"Ambos")+SUMIFS('Defensa'!$I$6:$I$10,'Defensa'!$B$6:$B$10,$A44,'Defensa'!$E$6:$E$10,"Diego")+SUMIFS('Defensa'!$I$6:$I$10,'Defensa'!$B$6:$B$10,$A44,'Defensa'!$E$6:$E$10,"Ambos")</f>
        <v/>
      </c>
      <c r="F44" s="21">
        <f>COUNTIFS('S1'!$B$6:$B$32,$A44,'S1'!$E$6:$E$32,"Víctor")+COUNTIFS('S1'!$B$6:$B$32,$A44,'S1'!$E$6:$E$32,"Ambos")+COUNTIFS('S2'!$B$6:$B$23,$A44,'S2'!$E$6:$E$23,"Víctor")+COUNTIFS('S2'!$B$6:$B$23,$A44,'S2'!$E$6:$E$23,"Ambos")+COUNTIFS('S3'!$B$6:$B$24,$A44,'S3'!$E$6:$E$24,"Víctor")+COUNTIFS('S3'!$B$6:$B$24,$A44,'S3'!$E$6:$E$24,"Ambos")+COUNTIFS('S4'!$B$6:$B$22,$A44,'S4'!$E$6:$E$22,"Víctor")+COUNTIFS('S4'!$B$6:$B$22,$A44,'S4'!$E$6:$E$22,"Ambos")+COUNTIFS('S5'!$B$6:$B$20,$A44,'S5'!$E$6:$E$20,"Víctor")+COUNTIFS('S5'!$B$6:$B$20,$A44,'S5'!$E$6:$E$20,"Ambos")+COUNTIFS('S6'!$B$6:$B$17,$A44,'S6'!$E$6:$E$17,"Víctor")+COUNTIFS('S6'!$B$6:$B$17,$A44,'S6'!$E$6:$E$17,"Ambos")+COUNTIFS('S7'!$B$6:$B$19,$A44,'S7'!$E$6:$E$19,"Víctor")+COUNTIFS('S7'!$B$6:$B$19,$A44,'S7'!$E$6:$E$19,"Ambos")+COUNTIFS('S8'!$B$6:$B$23,$A44,'S8'!$E$6:$E$23,"Víctor")+COUNTIFS('S8'!$B$6:$B$23,$A44,'S8'!$E$6:$E$23,"Ambos")+COUNTIFS('S9'!$B$6:$B$15,$A44,'S9'!$E$6:$E$15,"Víctor")+COUNTIFS('S9'!$B$6:$B$15,$A44,'S9'!$E$6:$E$15,"Ambos")+COUNTIFS('S10'!$B$6:$B$13,$A44,'S10'!$E$6:$E$13,"Víctor")+COUNTIFS('S10'!$B$6:$B$13,$A44,'S10'!$E$6:$E$13,"Ambos")+COUNTIFS('Holgura'!$B$6:$B$11,$A44,'Holgura'!$E$6:$E$11,"Víctor")+COUNTIFS('Holgura'!$B$6:$B$11,$A44,'Holgura'!$E$6:$E$11,"Ambos")+COUNTIFS('Entrega'!$B$6:$B$9,$A44,'Entrega'!$E$6:$E$9,"Víctor")+COUNTIFS('Entrega'!$B$6:$B$9,$A44,'Entrega'!$E$6:$E$9,"Ambos")+COUNTIFS('Defensa'!$B$6:$B$10,$A44,'Defensa'!$E$6:$E$10,"Víctor")+COUNTIFS('Defensa'!$B$6:$B$10,$A44,'Defensa'!$E$6:$E$10,"Ambos")</f>
        <v/>
      </c>
      <c r="G44" s="21">
        <f>COUNTIFS('S1'!$B$6:$B$32,$A44,'S1'!$E$6:$E$32,"Diego")+COUNTIFS('S1'!$B$6:$B$32,$A44,'S1'!$E$6:$E$32,"Ambos")+COUNTIFS('S2'!$B$6:$B$23,$A44,'S2'!$E$6:$E$23,"Diego")+COUNTIFS('S2'!$B$6:$B$23,$A44,'S2'!$E$6:$E$23,"Ambos")+COUNTIFS('S3'!$B$6:$B$24,$A44,'S3'!$E$6:$E$24,"Diego")+COUNTIFS('S3'!$B$6:$B$24,$A44,'S3'!$E$6:$E$24,"Ambos")+COUNTIFS('S4'!$B$6:$B$22,$A44,'S4'!$E$6:$E$22,"Diego")+COUNTIFS('S4'!$B$6:$B$22,$A44,'S4'!$E$6:$E$22,"Ambos")+COUNTIFS('S5'!$B$6:$B$20,$A44,'S5'!$E$6:$E$20,"Diego")+COUNTIFS('S5'!$B$6:$B$20,$A44,'S5'!$E$6:$E$20,"Ambos")+COUNTIFS('S6'!$B$6:$B$17,$A44,'S6'!$E$6:$E$17,"Diego")+COUNTIFS('S6'!$B$6:$B$17,$A44,'S6'!$E$6:$E$17,"Ambos")+COUNTIFS('S7'!$B$6:$B$19,$A44,'S7'!$E$6:$E$19,"Diego")+COUNTIFS('S7'!$B$6:$B$19,$A44,'S7'!$E$6:$E$19,"Ambos")+COUNTIFS('S8'!$B$6:$B$23,$A44,'S8'!$E$6:$E$23,"Diego")+COUNTIFS('S8'!$B$6:$B$23,$A44,'S8'!$E$6:$E$23,"Ambos")+COUNTIFS('S9'!$B$6:$B$15,$A44,'S9'!$E$6:$E$15,"Diego")+COUNTIFS('S9'!$B$6:$B$15,$A44,'S9'!$E$6:$E$15,"Ambos")+COUNTIFS('S10'!$B$6:$B$13,$A44,'S10'!$E$6:$E$13,"Diego")+COUNTIFS('S10'!$B$6:$B$13,$A44,'S10'!$E$6:$E$13,"Ambos")+COUNTIFS('Holgura'!$B$6:$B$11,$A44,'Holgura'!$E$6:$E$11,"Diego")+COUNTIFS('Holgura'!$B$6:$B$11,$A44,'Holgura'!$E$6:$E$11,"Ambos")+COUNTIFS('Entrega'!$B$6:$B$9,$A44,'Entrega'!$E$6:$E$9,"Diego")+COUNTIFS('Entrega'!$B$6:$B$9,$A44,'Entrega'!$E$6:$E$9,"Ambos")+COUNTIFS('Defensa'!$B$6:$B$10,$A44,'Defensa'!$E$6:$E$10,"Diego")+COUNTIFS('Defensa'!$B$6:$B$10,$A44,'Defensa'!$E$6:$E$10,"Ambos")</f>
        <v/>
      </c>
    </row>
    <row r="45">
      <c r="A45" s="25" t="n">
        <v>46347</v>
      </c>
      <c r="B45" s="26">
        <f>A45</f>
        <v/>
      </c>
      <c r="C45" s="21">
        <f>IF(WEEKDAY(A45,2)&gt;5,4,2)</f>
        <v/>
      </c>
      <c r="D45" s="21">
        <f>SUMIFS('S1'!$I$6:$I$32,'S1'!$B$6:$B$32,$A45,'S1'!$E$6:$E$32,"Víctor")+SUMIFS('S1'!$I$6:$I$32,'S1'!$B$6:$B$32,$A45,'S1'!$E$6:$E$32,"Ambos")+SUMIFS('S2'!$I$6:$I$23,'S2'!$B$6:$B$23,$A45,'S2'!$E$6:$E$23,"Víctor")+SUMIFS('S2'!$I$6:$I$23,'S2'!$B$6:$B$23,$A45,'S2'!$E$6:$E$23,"Ambos")+SUMIFS('S3'!$I$6:$I$24,'S3'!$B$6:$B$24,$A45,'S3'!$E$6:$E$24,"Víctor")+SUMIFS('S3'!$I$6:$I$24,'S3'!$B$6:$B$24,$A45,'S3'!$E$6:$E$24,"Ambos")+SUMIFS('S4'!$I$6:$I$22,'S4'!$B$6:$B$22,$A45,'S4'!$E$6:$E$22,"Víctor")+SUMIFS('S4'!$I$6:$I$22,'S4'!$B$6:$B$22,$A45,'S4'!$E$6:$E$22,"Ambos")+SUMIFS('S5'!$I$6:$I$20,'S5'!$B$6:$B$20,$A45,'S5'!$E$6:$E$20,"Víctor")+SUMIFS('S5'!$I$6:$I$20,'S5'!$B$6:$B$20,$A45,'S5'!$E$6:$E$20,"Ambos")+SUMIFS('S6'!$I$6:$I$17,'S6'!$B$6:$B$17,$A45,'S6'!$E$6:$E$17,"Víctor")+SUMIFS('S6'!$I$6:$I$17,'S6'!$B$6:$B$17,$A45,'S6'!$E$6:$E$17,"Ambos")+SUMIFS('S7'!$I$6:$I$19,'S7'!$B$6:$B$19,$A45,'S7'!$E$6:$E$19,"Víctor")+SUMIFS('S7'!$I$6:$I$19,'S7'!$B$6:$B$19,$A45,'S7'!$E$6:$E$19,"Ambos")+SUMIFS('S8'!$I$6:$I$23,'S8'!$B$6:$B$23,$A45,'S8'!$E$6:$E$23,"Víctor")+SUMIFS('S8'!$I$6:$I$23,'S8'!$B$6:$B$23,$A45,'S8'!$E$6:$E$23,"Ambos")+SUMIFS('S9'!$I$6:$I$15,'S9'!$B$6:$B$15,$A45,'S9'!$E$6:$E$15,"Víctor")+SUMIFS('S9'!$I$6:$I$15,'S9'!$B$6:$B$15,$A45,'S9'!$E$6:$E$15,"Ambos")+SUMIFS('S10'!$I$6:$I$13,'S10'!$B$6:$B$13,$A45,'S10'!$E$6:$E$13,"Víctor")+SUMIFS('S10'!$I$6:$I$13,'S10'!$B$6:$B$13,$A45,'S10'!$E$6:$E$13,"Ambos")+SUMIFS('Holgura'!$I$6:$I$11,'Holgura'!$B$6:$B$11,$A45,'Holgura'!$E$6:$E$11,"Víctor")+SUMIFS('Holgura'!$I$6:$I$11,'Holgura'!$B$6:$B$11,$A45,'Holgura'!$E$6:$E$11,"Ambos")+SUMIFS('Entrega'!$I$6:$I$9,'Entrega'!$B$6:$B$9,$A45,'Entrega'!$E$6:$E$9,"Víctor")+SUMIFS('Entrega'!$I$6:$I$9,'Entrega'!$B$6:$B$9,$A45,'Entrega'!$E$6:$E$9,"Ambos")+SUMIFS('Defensa'!$I$6:$I$10,'Defensa'!$B$6:$B$10,$A45,'Defensa'!$E$6:$E$10,"Víctor")+SUMIFS('Defensa'!$I$6:$I$10,'Defensa'!$B$6:$B$10,$A45,'Defensa'!$E$6:$E$10,"Ambos")</f>
        <v/>
      </c>
      <c r="E45" s="21">
        <f>SUMIFS('S1'!$I$6:$I$32,'S1'!$B$6:$B$32,$A45,'S1'!$E$6:$E$32,"Diego")+SUMIFS('S1'!$I$6:$I$32,'S1'!$B$6:$B$32,$A45,'S1'!$E$6:$E$32,"Ambos")+SUMIFS('S2'!$I$6:$I$23,'S2'!$B$6:$B$23,$A45,'S2'!$E$6:$E$23,"Diego")+SUMIFS('S2'!$I$6:$I$23,'S2'!$B$6:$B$23,$A45,'S2'!$E$6:$E$23,"Ambos")+SUMIFS('S3'!$I$6:$I$24,'S3'!$B$6:$B$24,$A45,'S3'!$E$6:$E$24,"Diego")+SUMIFS('S3'!$I$6:$I$24,'S3'!$B$6:$B$24,$A45,'S3'!$E$6:$E$24,"Ambos")+SUMIFS('S4'!$I$6:$I$22,'S4'!$B$6:$B$22,$A45,'S4'!$E$6:$E$22,"Diego")+SUMIFS('S4'!$I$6:$I$22,'S4'!$B$6:$B$22,$A45,'S4'!$E$6:$E$22,"Ambos")+SUMIFS('S5'!$I$6:$I$20,'S5'!$B$6:$B$20,$A45,'S5'!$E$6:$E$20,"Diego")+SUMIFS('S5'!$I$6:$I$20,'S5'!$B$6:$B$20,$A45,'S5'!$E$6:$E$20,"Ambos")+SUMIFS('S6'!$I$6:$I$17,'S6'!$B$6:$B$17,$A45,'S6'!$E$6:$E$17,"Diego")+SUMIFS('S6'!$I$6:$I$17,'S6'!$B$6:$B$17,$A45,'S6'!$E$6:$E$17,"Ambos")+SUMIFS('S7'!$I$6:$I$19,'S7'!$B$6:$B$19,$A45,'S7'!$E$6:$E$19,"Diego")+SUMIFS('S7'!$I$6:$I$19,'S7'!$B$6:$B$19,$A45,'S7'!$E$6:$E$19,"Ambos")+SUMIFS('S8'!$I$6:$I$23,'S8'!$B$6:$B$23,$A45,'S8'!$E$6:$E$23,"Diego")+SUMIFS('S8'!$I$6:$I$23,'S8'!$B$6:$B$23,$A45,'S8'!$E$6:$E$23,"Ambos")+SUMIFS('S9'!$I$6:$I$15,'S9'!$B$6:$B$15,$A45,'S9'!$E$6:$E$15,"Diego")+SUMIFS('S9'!$I$6:$I$15,'S9'!$B$6:$B$15,$A45,'S9'!$E$6:$E$15,"Ambos")+SUMIFS('S10'!$I$6:$I$13,'S10'!$B$6:$B$13,$A45,'S10'!$E$6:$E$13,"Diego")+SUMIFS('S10'!$I$6:$I$13,'S10'!$B$6:$B$13,$A45,'S10'!$E$6:$E$13,"Ambos")+SUMIFS('Holgura'!$I$6:$I$11,'Holgura'!$B$6:$B$11,$A45,'Holgura'!$E$6:$E$11,"Diego")+SUMIFS('Holgura'!$I$6:$I$11,'Holgura'!$B$6:$B$11,$A45,'Holgura'!$E$6:$E$11,"Ambos")+SUMIFS('Entrega'!$I$6:$I$9,'Entrega'!$B$6:$B$9,$A45,'Entrega'!$E$6:$E$9,"Diego")+SUMIFS('Entrega'!$I$6:$I$9,'Entrega'!$B$6:$B$9,$A45,'Entrega'!$E$6:$E$9,"Ambos")+SUMIFS('Defensa'!$I$6:$I$10,'Defensa'!$B$6:$B$10,$A45,'Defensa'!$E$6:$E$10,"Diego")+SUMIFS('Defensa'!$I$6:$I$10,'Defensa'!$B$6:$B$10,$A45,'Defensa'!$E$6:$E$10,"Ambos")</f>
        <v/>
      </c>
      <c r="F45" s="21">
        <f>COUNTIFS('S1'!$B$6:$B$32,$A45,'S1'!$E$6:$E$32,"Víctor")+COUNTIFS('S1'!$B$6:$B$32,$A45,'S1'!$E$6:$E$32,"Ambos")+COUNTIFS('S2'!$B$6:$B$23,$A45,'S2'!$E$6:$E$23,"Víctor")+COUNTIFS('S2'!$B$6:$B$23,$A45,'S2'!$E$6:$E$23,"Ambos")+COUNTIFS('S3'!$B$6:$B$24,$A45,'S3'!$E$6:$E$24,"Víctor")+COUNTIFS('S3'!$B$6:$B$24,$A45,'S3'!$E$6:$E$24,"Ambos")+COUNTIFS('S4'!$B$6:$B$22,$A45,'S4'!$E$6:$E$22,"Víctor")+COUNTIFS('S4'!$B$6:$B$22,$A45,'S4'!$E$6:$E$22,"Ambos")+COUNTIFS('S5'!$B$6:$B$20,$A45,'S5'!$E$6:$E$20,"Víctor")+COUNTIFS('S5'!$B$6:$B$20,$A45,'S5'!$E$6:$E$20,"Ambos")+COUNTIFS('S6'!$B$6:$B$17,$A45,'S6'!$E$6:$E$17,"Víctor")+COUNTIFS('S6'!$B$6:$B$17,$A45,'S6'!$E$6:$E$17,"Ambos")+COUNTIFS('S7'!$B$6:$B$19,$A45,'S7'!$E$6:$E$19,"Víctor")+COUNTIFS('S7'!$B$6:$B$19,$A45,'S7'!$E$6:$E$19,"Ambos")+COUNTIFS('S8'!$B$6:$B$23,$A45,'S8'!$E$6:$E$23,"Víctor")+COUNTIFS('S8'!$B$6:$B$23,$A45,'S8'!$E$6:$E$23,"Ambos")+COUNTIFS('S9'!$B$6:$B$15,$A45,'S9'!$E$6:$E$15,"Víctor")+COUNTIFS('S9'!$B$6:$B$15,$A45,'S9'!$E$6:$E$15,"Ambos")+COUNTIFS('S10'!$B$6:$B$13,$A45,'S10'!$E$6:$E$13,"Víctor")+COUNTIFS('S10'!$B$6:$B$13,$A45,'S10'!$E$6:$E$13,"Ambos")+COUNTIFS('Holgura'!$B$6:$B$11,$A45,'Holgura'!$E$6:$E$11,"Víctor")+COUNTIFS('Holgura'!$B$6:$B$11,$A45,'Holgura'!$E$6:$E$11,"Ambos")+COUNTIFS('Entrega'!$B$6:$B$9,$A45,'Entrega'!$E$6:$E$9,"Víctor")+COUNTIFS('Entrega'!$B$6:$B$9,$A45,'Entrega'!$E$6:$E$9,"Ambos")+COUNTIFS('Defensa'!$B$6:$B$10,$A45,'Defensa'!$E$6:$E$10,"Víctor")+COUNTIFS('Defensa'!$B$6:$B$10,$A45,'Defensa'!$E$6:$E$10,"Ambos")</f>
        <v/>
      </c>
      <c r="G45" s="21">
        <f>COUNTIFS('S1'!$B$6:$B$32,$A45,'S1'!$E$6:$E$32,"Diego")+COUNTIFS('S1'!$B$6:$B$32,$A45,'S1'!$E$6:$E$32,"Ambos")+COUNTIFS('S2'!$B$6:$B$23,$A45,'S2'!$E$6:$E$23,"Diego")+COUNTIFS('S2'!$B$6:$B$23,$A45,'S2'!$E$6:$E$23,"Ambos")+COUNTIFS('S3'!$B$6:$B$24,$A45,'S3'!$E$6:$E$24,"Diego")+COUNTIFS('S3'!$B$6:$B$24,$A45,'S3'!$E$6:$E$24,"Ambos")+COUNTIFS('S4'!$B$6:$B$22,$A45,'S4'!$E$6:$E$22,"Diego")+COUNTIFS('S4'!$B$6:$B$22,$A45,'S4'!$E$6:$E$22,"Ambos")+COUNTIFS('S5'!$B$6:$B$20,$A45,'S5'!$E$6:$E$20,"Diego")+COUNTIFS('S5'!$B$6:$B$20,$A45,'S5'!$E$6:$E$20,"Ambos")+COUNTIFS('S6'!$B$6:$B$17,$A45,'S6'!$E$6:$E$17,"Diego")+COUNTIFS('S6'!$B$6:$B$17,$A45,'S6'!$E$6:$E$17,"Ambos")+COUNTIFS('S7'!$B$6:$B$19,$A45,'S7'!$E$6:$E$19,"Diego")+COUNTIFS('S7'!$B$6:$B$19,$A45,'S7'!$E$6:$E$19,"Ambos")+COUNTIFS('S8'!$B$6:$B$23,$A45,'S8'!$E$6:$E$23,"Diego")+COUNTIFS('S8'!$B$6:$B$23,$A45,'S8'!$E$6:$E$23,"Ambos")+COUNTIFS('S9'!$B$6:$B$15,$A45,'S9'!$E$6:$E$15,"Diego")+COUNTIFS('S9'!$B$6:$B$15,$A45,'S9'!$E$6:$E$15,"Ambos")+COUNTIFS('S10'!$B$6:$B$13,$A45,'S10'!$E$6:$E$13,"Diego")+COUNTIFS('S10'!$B$6:$B$13,$A45,'S10'!$E$6:$E$13,"Ambos")+COUNTIFS('Holgura'!$B$6:$B$11,$A45,'Holgura'!$E$6:$E$11,"Diego")+COUNTIFS('Holgura'!$B$6:$B$11,$A45,'Holgura'!$E$6:$E$11,"Ambos")+COUNTIFS('Entrega'!$B$6:$B$9,$A45,'Entrega'!$E$6:$E$9,"Diego")+COUNTIFS('Entrega'!$B$6:$B$9,$A45,'Entrega'!$E$6:$E$9,"Ambos")+COUNTIFS('Defensa'!$B$6:$B$10,$A45,'Defensa'!$E$6:$E$10,"Diego")+COUNTIFS('Defensa'!$B$6:$B$10,$A45,'Defensa'!$E$6:$E$10,"Ambos")</f>
        <v/>
      </c>
    </row>
    <row r="46">
      <c r="A46" s="25" t="n">
        <v>46348</v>
      </c>
      <c r="B46" s="26">
        <f>A46</f>
        <v/>
      </c>
      <c r="C46" s="21">
        <f>IF(WEEKDAY(A46,2)&gt;5,4,2)</f>
        <v/>
      </c>
      <c r="D46" s="21">
        <f>SUMIFS('S1'!$I$6:$I$32,'S1'!$B$6:$B$32,$A46,'S1'!$E$6:$E$32,"Víctor")+SUMIFS('S1'!$I$6:$I$32,'S1'!$B$6:$B$32,$A46,'S1'!$E$6:$E$32,"Ambos")+SUMIFS('S2'!$I$6:$I$23,'S2'!$B$6:$B$23,$A46,'S2'!$E$6:$E$23,"Víctor")+SUMIFS('S2'!$I$6:$I$23,'S2'!$B$6:$B$23,$A46,'S2'!$E$6:$E$23,"Ambos")+SUMIFS('S3'!$I$6:$I$24,'S3'!$B$6:$B$24,$A46,'S3'!$E$6:$E$24,"Víctor")+SUMIFS('S3'!$I$6:$I$24,'S3'!$B$6:$B$24,$A46,'S3'!$E$6:$E$24,"Ambos")+SUMIFS('S4'!$I$6:$I$22,'S4'!$B$6:$B$22,$A46,'S4'!$E$6:$E$22,"Víctor")+SUMIFS('S4'!$I$6:$I$22,'S4'!$B$6:$B$22,$A46,'S4'!$E$6:$E$22,"Ambos")+SUMIFS('S5'!$I$6:$I$20,'S5'!$B$6:$B$20,$A46,'S5'!$E$6:$E$20,"Víctor")+SUMIFS('S5'!$I$6:$I$20,'S5'!$B$6:$B$20,$A46,'S5'!$E$6:$E$20,"Ambos")+SUMIFS('S6'!$I$6:$I$17,'S6'!$B$6:$B$17,$A46,'S6'!$E$6:$E$17,"Víctor")+SUMIFS('S6'!$I$6:$I$17,'S6'!$B$6:$B$17,$A46,'S6'!$E$6:$E$17,"Ambos")+SUMIFS('S7'!$I$6:$I$19,'S7'!$B$6:$B$19,$A46,'S7'!$E$6:$E$19,"Víctor")+SUMIFS('S7'!$I$6:$I$19,'S7'!$B$6:$B$19,$A46,'S7'!$E$6:$E$19,"Ambos")+SUMIFS('S8'!$I$6:$I$23,'S8'!$B$6:$B$23,$A46,'S8'!$E$6:$E$23,"Víctor")+SUMIFS('S8'!$I$6:$I$23,'S8'!$B$6:$B$23,$A46,'S8'!$E$6:$E$23,"Ambos")+SUMIFS('S9'!$I$6:$I$15,'S9'!$B$6:$B$15,$A46,'S9'!$E$6:$E$15,"Víctor")+SUMIFS('S9'!$I$6:$I$15,'S9'!$B$6:$B$15,$A46,'S9'!$E$6:$E$15,"Ambos")+SUMIFS('S10'!$I$6:$I$13,'S10'!$B$6:$B$13,$A46,'S10'!$E$6:$E$13,"Víctor")+SUMIFS('S10'!$I$6:$I$13,'S10'!$B$6:$B$13,$A46,'S10'!$E$6:$E$13,"Ambos")+SUMIFS('Holgura'!$I$6:$I$11,'Holgura'!$B$6:$B$11,$A46,'Holgura'!$E$6:$E$11,"Víctor")+SUMIFS('Holgura'!$I$6:$I$11,'Holgura'!$B$6:$B$11,$A46,'Holgura'!$E$6:$E$11,"Ambos")+SUMIFS('Entrega'!$I$6:$I$9,'Entrega'!$B$6:$B$9,$A46,'Entrega'!$E$6:$E$9,"Víctor")+SUMIFS('Entrega'!$I$6:$I$9,'Entrega'!$B$6:$B$9,$A46,'Entrega'!$E$6:$E$9,"Ambos")+SUMIFS('Defensa'!$I$6:$I$10,'Defensa'!$B$6:$B$10,$A46,'Defensa'!$E$6:$E$10,"Víctor")+SUMIFS('Defensa'!$I$6:$I$10,'Defensa'!$B$6:$B$10,$A46,'Defensa'!$E$6:$E$10,"Ambos")</f>
        <v/>
      </c>
      <c r="E46" s="21">
        <f>SUMIFS('S1'!$I$6:$I$32,'S1'!$B$6:$B$32,$A46,'S1'!$E$6:$E$32,"Diego")+SUMIFS('S1'!$I$6:$I$32,'S1'!$B$6:$B$32,$A46,'S1'!$E$6:$E$32,"Ambos")+SUMIFS('S2'!$I$6:$I$23,'S2'!$B$6:$B$23,$A46,'S2'!$E$6:$E$23,"Diego")+SUMIFS('S2'!$I$6:$I$23,'S2'!$B$6:$B$23,$A46,'S2'!$E$6:$E$23,"Ambos")+SUMIFS('S3'!$I$6:$I$24,'S3'!$B$6:$B$24,$A46,'S3'!$E$6:$E$24,"Diego")+SUMIFS('S3'!$I$6:$I$24,'S3'!$B$6:$B$24,$A46,'S3'!$E$6:$E$24,"Ambos")+SUMIFS('S4'!$I$6:$I$22,'S4'!$B$6:$B$22,$A46,'S4'!$E$6:$E$22,"Diego")+SUMIFS('S4'!$I$6:$I$22,'S4'!$B$6:$B$22,$A46,'S4'!$E$6:$E$22,"Ambos")+SUMIFS('S5'!$I$6:$I$20,'S5'!$B$6:$B$20,$A46,'S5'!$E$6:$E$20,"Diego")+SUMIFS('S5'!$I$6:$I$20,'S5'!$B$6:$B$20,$A46,'S5'!$E$6:$E$20,"Ambos")+SUMIFS('S6'!$I$6:$I$17,'S6'!$B$6:$B$17,$A46,'S6'!$E$6:$E$17,"Diego")+SUMIFS('S6'!$I$6:$I$17,'S6'!$B$6:$B$17,$A46,'S6'!$E$6:$E$17,"Ambos")+SUMIFS('S7'!$I$6:$I$19,'S7'!$B$6:$B$19,$A46,'S7'!$E$6:$E$19,"Diego")+SUMIFS('S7'!$I$6:$I$19,'S7'!$B$6:$B$19,$A46,'S7'!$E$6:$E$19,"Ambos")+SUMIFS('S8'!$I$6:$I$23,'S8'!$B$6:$B$23,$A46,'S8'!$E$6:$E$23,"Diego")+SUMIFS('S8'!$I$6:$I$23,'S8'!$B$6:$B$23,$A46,'S8'!$E$6:$E$23,"Ambos")+SUMIFS('S9'!$I$6:$I$15,'S9'!$B$6:$B$15,$A46,'S9'!$E$6:$E$15,"Diego")+SUMIFS('S9'!$I$6:$I$15,'S9'!$B$6:$B$15,$A46,'S9'!$E$6:$E$15,"Ambos")+SUMIFS('S10'!$I$6:$I$13,'S10'!$B$6:$B$13,$A46,'S10'!$E$6:$E$13,"Diego")+SUMIFS('S10'!$I$6:$I$13,'S10'!$B$6:$B$13,$A46,'S10'!$E$6:$E$13,"Ambos")+SUMIFS('Holgura'!$I$6:$I$11,'Holgura'!$B$6:$B$11,$A46,'Holgura'!$E$6:$E$11,"Diego")+SUMIFS('Holgura'!$I$6:$I$11,'Holgura'!$B$6:$B$11,$A46,'Holgura'!$E$6:$E$11,"Ambos")+SUMIFS('Entrega'!$I$6:$I$9,'Entrega'!$B$6:$B$9,$A46,'Entrega'!$E$6:$E$9,"Diego")+SUMIFS('Entrega'!$I$6:$I$9,'Entrega'!$B$6:$B$9,$A46,'Entrega'!$E$6:$E$9,"Ambos")+SUMIFS('Defensa'!$I$6:$I$10,'Defensa'!$B$6:$B$10,$A46,'Defensa'!$E$6:$E$10,"Diego")+SUMIFS('Defensa'!$I$6:$I$10,'Defensa'!$B$6:$B$10,$A46,'Defensa'!$E$6:$E$10,"Ambos")</f>
        <v/>
      </c>
      <c r="F46" s="21">
        <f>COUNTIFS('S1'!$B$6:$B$32,$A46,'S1'!$E$6:$E$32,"Víctor")+COUNTIFS('S1'!$B$6:$B$32,$A46,'S1'!$E$6:$E$32,"Ambos")+COUNTIFS('S2'!$B$6:$B$23,$A46,'S2'!$E$6:$E$23,"Víctor")+COUNTIFS('S2'!$B$6:$B$23,$A46,'S2'!$E$6:$E$23,"Ambos")+COUNTIFS('S3'!$B$6:$B$24,$A46,'S3'!$E$6:$E$24,"Víctor")+COUNTIFS('S3'!$B$6:$B$24,$A46,'S3'!$E$6:$E$24,"Ambos")+COUNTIFS('S4'!$B$6:$B$22,$A46,'S4'!$E$6:$E$22,"Víctor")+COUNTIFS('S4'!$B$6:$B$22,$A46,'S4'!$E$6:$E$22,"Ambos")+COUNTIFS('S5'!$B$6:$B$20,$A46,'S5'!$E$6:$E$20,"Víctor")+COUNTIFS('S5'!$B$6:$B$20,$A46,'S5'!$E$6:$E$20,"Ambos")+COUNTIFS('S6'!$B$6:$B$17,$A46,'S6'!$E$6:$E$17,"Víctor")+COUNTIFS('S6'!$B$6:$B$17,$A46,'S6'!$E$6:$E$17,"Ambos")+COUNTIFS('S7'!$B$6:$B$19,$A46,'S7'!$E$6:$E$19,"Víctor")+COUNTIFS('S7'!$B$6:$B$19,$A46,'S7'!$E$6:$E$19,"Ambos")+COUNTIFS('S8'!$B$6:$B$23,$A46,'S8'!$E$6:$E$23,"Víctor")+COUNTIFS('S8'!$B$6:$B$23,$A46,'S8'!$E$6:$E$23,"Ambos")+COUNTIFS('S9'!$B$6:$B$15,$A46,'S9'!$E$6:$E$15,"Víctor")+COUNTIFS('S9'!$B$6:$B$15,$A46,'S9'!$E$6:$E$15,"Ambos")+COUNTIFS('S10'!$B$6:$B$13,$A46,'S10'!$E$6:$E$13,"Víctor")+COUNTIFS('S10'!$B$6:$B$13,$A46,'S10'!$E$6:$E$13,"Ambos")+COUNTIFS('Holgura'!$B$6:$B$11,$A46,'Holgura'!$E$6:$E$11,"Víctor")+COUNTIFS('Holgura'!$B$6:$B$11,$A46,'Holgura'!$E$6:$E$11,"Ambos")+COUNTIFS('Entrega'!$B$6:$B$9,$A46,'Entrega'!$E$6:$E$9,"Víctor")+COUNTIFS('Entrega'!$B$6:$B$9,$A46,'Entrega'!$E$6:$E$9,"Ambos")+COUNTIFS('Defensa'!$B$6:$B$10,$A46,'Defensa'!$E$6:$E$10,"Víctor")+COUNTIFS('Defensa'!$B$6:$B$10,$A46,'Defensa'!$E$6:$E$10,"Ambos")</f>
        <v/>
      </c>
      <c r="G46" s="21">
        <f>COUNTIFS('S1'!$B$6:$B$32,$A46,'S1'!$E$6:$E$32,"Diego")+COUNTIFS('S1'!$B$6:$B$32,$A46,'S1'!$E$6:$E$32,"Ambos")+COUNTIFS('S2'!$B$6:$B$23,$A46,'S2'!$E$6:$E$23,"Diego")+COUNTIFS('S2'!$B$6:$B$23,$A46,'S2'!$E$6:$E$23,"Ambos")+COUNTIFS('S3'!$B$6:$B$24,$A46,'S3'!$E$6:$E$24,"Diego")+COUNTIFS('S3'!$B$6:$B$24,$A46,'S3'!$E$6:$E$24,"Ambos")+COUNTIFS('S4'!$B$6:$B$22,$A46,'S4'!$E$6:$E$22,"Diego")+COUNTIFS('S4'!$B$6:$B$22,$A46,'S4'!$E$6:$E$22,"Ambos")+COUNTIFS('S5'!$B$6:$B$20,$A46,'S5'!$E$6:$E$20,"Diego")+COUNTIFS('S5'!$B$6:$B$20,$A46,'S5'!$E$6:$E$20,"Ambos")+COUNTIFS('S6'!$B$6:$B$17,$A46,'S6'!$E$6:$E$17,"Diego")+COUNTIFS('S6'!$B$6:$B$17,$A46,'S6'!$E$6:$E$17,"Ambos")+COUNTIFS('S7'!$B$6:$B$19,$A46,'S7'!$E$6:$E$19,"Diego")+COUNTIFS('S7'!$B$6:$B$19,$A46,'S7'!$E$6:$E$19,"Ambos")+COUNTIFS('S8'!$B$6:$B$23,$A46,'S8'!$E$6:$E$23,"Diego")+COUNTIFS('S8'!$B$6:$B$23,$A46,'S8'!$E$6:$E$23,"Ambos")+COUNTIFS('S9'!$B$6:$B$15,$A46,'S9'!$E$6:$E$15,"Diego")+COUNTIFS('S9'!$B$6:$B$15,$A46,'S9'!$E$6:$E$15,"Ambos")+COUNTIFS('S10'!$B$6:$B$13,$A46,'S10'!$E$6:$E$13,"Diego")+COUNTIFS('S10'!$B$6:$B$13,$A46,'S10'!$E$6:$E$13,"Ambos")+COUNTIFS('Holgura'!$B$6:$B$11,$A46,'Holgura'!$E$6:$E$11,"Diego")+COUNTIFS('Holgura'!$B$6:$B$11,$A46,'Holgura'!$E$6:$E$11,"Ambos")+COUNTIFS('Entrega'!$B$6:$B$9,$A46,'Entrega'!$E$6:$E$9,"Diego")+COUNTIFS('Entrega'!$B$6:$B$9,$A46,'Entrega'!$E$6:$E$9,"Ambos")+COUNTIFS('Defensa'!$B$6:$B$10,$A46,'Defensa'!$E$6:$E$10,"Diego")+COUNTIFS('Defensa'!$B$6:$B$10,$A46,'Defensa'!$E$6:$E$10,"Ambos")</f>
        <v/>
      </c>
    </row>
    <row r="47">
      <c r="A47" s="25" t="n">
        <v>46349</v>
      </c>
      <c r="B47" s="26">
        <f>A47</f>
        <v/>
      </c>
      <c r="C47" s="21">
        <f>IF(WEEKDAY(A47,2)&gt;5,4,2)</f>
        <v/>
      </c>
      <c r="D47" s="21">
        <f>SUMIFS('S1'!$I$6:$I$32,'S1'!$B$6:$B$32,$A47,'S1'!$E$6:$E$32,"Víctor")+SUMIFS('S1'!$I$6:$I$32,'S1'!$B$6:$B$32,$A47,'S1'!$E$6:$E$32,"Ambos")+SUMIFS('S2'!$I$6:$I$23,'S2'!$B$6:$B$23,$A47,'S2'!$E$6:$E$23,"Víctor")+SUMIFS('S2'!$I$6:$I$23,'S2'!$B$6:$B$23,$A47,'S2'!$E$6:$E$23,"Ambos")+SUMIFS('S3'!$I$6:$I$24,'S3'!$B$6:$B$24,$A47,'S3'!$E$6:$E$24,"Víctor")+SUMIFS('S3'!$I$6:$I$24,'S3'!$B$6:$B$24,$A47,'S3'!$E$6:$E$24,"Ambos")+SUMIFS('S4'!$I$6:$I$22,'S4'!$B$6:$B$22,$A47,'S4'!$E$6:$E$22,"Víctor")+SUMIFS('S4'!$I$6:$I$22,'S4'!$B$6:$B$22,$A47,'S4'!$E$6:$E$22,"Ambos")+SUMIFS('S5'!$I$6:$I$20,'S5'!$B$6:$B$20,$A47,'S5'!$E$6:$E$20,"Víctor")+SUMIFS('S5'!$I$6:$I$20,'S5'!$B$6:$B$20,$A47,'S5'!$E$6:$E$20,"Ambos")+SUMIFS('S6'!$I$6:$I$17,'S6'!$B$6:$B$17,$A47,'S6'!$E$6:$E$17,"Víctor")+SUMIFS('S6'!$I$6:$I$17,'S6'!$B$6:$B$17,$A47,'S6'!$E$6:$E$17,"Ambos")+SUMIFS('S7'!$I$6:$I$19,'S7'!$B$6:$B$19,$A47,'S7'!$E$6:$E$19,"Víctor")+SUMIFS('S7'!$I$6:$I$19,'S7'!$B$6:$B$19,$A47,'S7'!$E$6:$E$19,"Ambos")+SUMIFS('S8'!$I$6:$I$23,'S8'!$B$6:$B$23,$A47,'S8'!$E$6:$E$23,"Víctor")+SUMIFS('S8'!$I$6:$I$23,'S8'!$B$6:$B$23,$A47,'S8'!$E$6:$E$23,"Ambos")+SUMIFS('S9'!$I$6:$I$15,'S9'!$B$6:$B$15,$A47,'S9'!$E$6:$E$15,"Víctor")+SUMIFS('S9'!$I$6:$I$15,'S9'!$B$6:$B$15,$A47,'S9'!$E$6:$E$15,"Ambos")+SUMIFS('S10'!$I$6:$I$13,'S10'!$B$6:$B$13,$A47,'S10'!$E$6:$E$13,"Víctor")+SUMIFS('S10'!$I$6:$I$13,'S10'!$B$6:$B$13,$A47,'S10'!$E$6:$E$13,"Ambos")+SUMIFS('Holgura'!$I$6:$I$11,'Holgura'!$B$6:$B$11,$A47,'Holgura'!$E$6:$E$11,"Víctor")+SUMIFS('Holgura'!$I$6:$I$11,'Holgura'!$B$6:$B$11,$A47,'Holgura'!$E$6:$E$11,"Ambos")+SUMIFS('Entrega'!$I$6:$I$9,'Entrega'!$B$6:$B$9,$A47,'Entrega'!$E$6:$E$9,"Víctor")+SUMIFS('Entrega'!$I$6:$I$9,'Entrega'!$B$6:$B$9,$A47,'Entrega'!$E$6:$E$9,"Ambos")+SUMIFS('Defensa'!$I$6:$I$10,'Defensa'!$B$6:$B$10,$A47,'Defensa'!$E$6:$E$10,"Víctor")+SUMIFS('Defensa'!$I$6:$I$10,'Defensa'!$B$6:$B$10,$A47,'Defensa'!$E$6:$E$10,"Ambos")</f>
        <v/>
      </c>
      <c r="E47" s="21">
        <f>SUMIFS('S1'!$I$6:$I$32,'S1'!$B$6:$B$32,$A47,'S1'!$E$6:$E$32,"Diego")+SUMIFS('S1'!$I$6:$I$32,'S1'!$B$6:$B$32,$A47,'S1'!$E$6:$E$32,"Ambos")+SUMIFS('S2'!$I$6:$I$23,'S2'!$B$6:$B$23,$A47,'S2'!$E$6:$E$23,"Diego")+SUMIFS('S2'!$I$6:$I$23,'S2'!$B$6:$B$23,$A47,'S2'!$E$6:$E$23,"Ambos")+SUMIFS('S3'!$I$6:$I$24,'S3'!$B$6:$B$24,$A47,'S3'!$E$6:$E$24,"Diego")+SUMIFS('S3'!$I$6:$I$24,'S3'!$B$6:$B$24,$A47,'S3'!$E$6:$E$24,"Ambos")+SUMIFS('S4'!$I$6:$I$22,'S4'!$B$6:$B$22,$A47,'S4'!$E$6:$E$22,"Diego")+SUMIFS('S4'!$I$6:$I$22,'S4'!$B$6:$B$22,$A47,'S4'!$E$6:$E$22,"Ambos")+SUMIFS('S5'!$I$6:$I$20,'S5'!$B$6:$B$20,$A47,'S5'!$E$6:$E$20,"Diego")+SUMIFS('S5'!$I$6:$I$20,'S5'!$B$6:$B$20,$A47,'S5'!$E$6:$E$20,"Ambos")+SUMIFS('S6'!$I$6:$I$17,'S6'!$B$6:$B$17,$A47,'S6'!$E$6:$E$17,"Diego")+SUMIFS('S6'!$I$6:$I$17,'S6'!$B$6:$B$17,$A47,'S6'!$E$6:$E$17,"Ambos")+SUMIFS('S7'!$I$6:$I$19,'S7'!$B$6:$B$19,$A47,'S7'!$E$6:$E$19,"Diego")+SUMIFS('S7'!$I$6:$I$19,'S7'!$B$6:$B$19,$A47,'S7'!$E$6:$E$19,"Ambos")+SUMIFS('S8'!$I$6:$I$23,'S8'!$B$6:$B$23,$A47,'S8'!$E$6:$E$23,"Diego")+SUMIFS('S8'!$I$6:$I$23,'S8'!$B$6:$B$23,$A47,'S8'!$E$6:$E$23,"Ambos")+SUMIFS('S9'!$I$6:$I$15,'S9'!$B$6:$B$15,$A47,'S9'!$E$6:$E$15,"Diego")+SUMIFS('S9'!$I$6:$I$15,'S9'!$B$6:$B$15,$A47,'S9'!$E$6:$E$15,"Ambos")+SUMIFS('S10'!$I$6:$I$13,'S10'!$B$6:$B$13,$A47,'S10'!$E$6:$E$13,"Diego")+SUMIFS('S10'!$I$6:$I$13,'S10'!$B$6:$B$13,$A47,'S10'!$E$6:$E$13,"Ambos")+SUMIFS('Holgura'!$I$6:$I$11,'Holgura'!$B$6:$B$11,$A47,'Holgura'!$E$6:$E$11,"Diego")+SUMIFS('Holgura'!$I$6:$I$11,'Holgura'!$B$6:$B$11,$A47,'Holgura'!$E$6:$E$11,"Ambos")+SUMIFS('Entrega'!$I$6:$I$9,'Entrega'!$B$6:$B$9,$A47,'Entrega'!$E$6:$E$9,"Diego")+SUMIFS('Entrega'!$I$6:$I$9,'Entrega'!$B$6:$B$9,$A47,'Entrega'!$E$6:$E$9,"Ambos")+SUMIFS('Defensa'!$I$6:$I$10,'Defensa'!$B$6:$B$10,$A47,'Defensa'!$E$6:$E$10,"Diego")+SUMIFS('Defensa'!$I$6:$I$10,'Defensa'!$B$6:$B$10,$A47,'Defensa'!$E$6:$E$10,"Ambos")</f>
        <v/>
      </c>
      <c r="F47" s="21">
        <f>COUNTIFS('S1'!$B$6:$B$32,$A47,'S1'!$E$6:$E$32,"Víctor")+COUNTIFS('S1'!$B$6:$B$32,$A47,'S1'!$E$6:$E$32,"Ambos")+COUNTIFS('S2'!$B$6:$B$23,$A47,'S2'!$E$6:$E$23,"Víctor")+COUNTIFS('S2'!$B$6:$B$23,$A47,'S2'!$E$6:$E$23,"Ambos")+COUNTIFS('S3'!$B$6:$B$24,$A47,'S3'!$E$6:$E$24,"Víctor")+COUNTIFS('S3'!$B$6:$B$24,$A47,'S3'!$E$6:$E$24,"Ambos")+COUNTIFS('S4'!$B$6:$B$22,$A47,'S4'!$E$6:$E$22,"Víctor")+COUNTIFS('S4'!$B$6:$B$22,$A47,'S4'!$E$6:$E$22,"Ambos")+COUNTIFS('S5'!$B$6:$B$20,$A47,'S5'!$E$6:$E$20,"Víctor")+COUNTIFS('S5'!$B$6:$B$20,$A47,'S5'!$E$6:$E$20,"Ambos")+COUNTIFS('S6'!$B$6:$B$17,$A47,'S6'!$E$6:$E$17,"Víctor")+COUNTIFS('S6'!$B$6:$B$17,$A47,'S6'!$E$6:$E$17,"Ambos")+COUNTIFS('S7'!$B$6:$B$19,$A47,'S7'!$E$6:$E$19,"Víctor")+COUNTIFS('S7'!$B$6:$B$19,$A47,'S7'!$E$6:$E$19,"Ambos")+COUNTIFS('S8'!$B$6:$B$23,$A47,'S8'!$E$6:$E$23,"Víctor")+COUNTIFS('S8'!$B$6:$B$23,$A47,'S8'!$E$6:$E$23,"Ambos")+COUNTIFS('S9'!$B$6:$B$15,$A47,'S9'!$E$6:$E$15,"Víctor")+COUNTIFS('S9'!$B$6:$B$15,$A47,'S9'!$E$6:$E$15,"Ambos")+COUNTIFS('S10'!$B$6:$B$13,$A47,'S10'!$E$6:$E$13,"Víctor")+COUNTIFS('S10'!$B$6:$B$13,$A47,'S10'!$E$6:$E$13,"Ambos")+COUNTIFS('Holgura'!$B$6:$B$11,$A47,'Holgura'!$E$6:$E$11,"Víctor")+COUNTIFS('Holgura'!$B$6:$B$11,$A47,'Holgura'!$E$6:$E$11,"Ambos")+COUNTIFS('Entrega'!$B$6:$B$9,$A47,'Entrega'!$E$6:$E$9,"Víctor")+COUNTIFS('Entrega'!$B$6:$B$9,$A47,'Entrega'!$E$6:$E$9,"Ambos")+COUNTIFS('Defensa'!$B$6:$B$10,$A47,'Defensa'!$E$6:$E$10,"Víctor")+COUNTIFS('Defensa'!$B$6:$B$10,$A47,'Defensa'!$E$6:$E$10,"Ambos")</f>
        <v/>
      </c>
      <c r="G47" s="21">
        <f>COUNTIFS('S1'!$B$6:$B$32,$A47,'S1'!$E$6:$E$32,"Diego")+COUNTIFS('S1'!$B$6:$B$32,$A47,'S1'!$E$6:$E$32,"Ambos")+COUNTIFS('S2'!$B$6:$B$23,$A47,'S2'!$E$6:$E$23,"Diego")+COUNTIFS('S2'!$B$6:$B$23,$A47,'S2'!$E$6:$E$23,"Ambos")+COUNTIFS('S3'!$B$6:$B$24,$A47,'S3'!$E$6:$E$24,"Diego")+COUNTIFS('S3'!$B$6:$B$24,$A47,'S3'!$E$6:$E$24,"Ambos")+COUNTIFS('S4'!$B$6:$B$22,$A47,'S4'!$E$6:$E$22,"Diego")+COUNTIFS('S4'!$B$6:$B$22,$A47,'S4'!$E$6:$E$22,"Ambos")+COUNTIFS('S5'!$B$6:$B$20,$A47,'S5'!$E$6:$E$20,"Diego")+COUNTIFS('S5'!$B$6:$B$20,$A47,'S5'!$E$6:$E$20,"Ambos")+COUNTIFS('S6'!$B$6:$B$17,$A47,'S6'!$E$6:$E$17,"Diego")+COUNTIFS('S6'!$B$6:$B$17,$A47,'S6'!$E$6:$E$17,"Ambos")+COUNTIFS('S7'!$B$6:$B$19,$A47,'S7'!$E$6:$E$19,"Diego")+COUNTIFS('S7'!$B$6:$B$19,$A47,'S7'!$E$6:$E$19,"Ambos")+COUNTIFS('S8'!$B$6:$B$23,$A47,'S8'!$E$6:$E$23,"Diego")+COUNTIFS('S8'!$B$6:$B$23,$A47,'S8'!$E$6:$E$23,"Ambos")+COUNTIFS('S9'!$B$6:$B$15,$A47,'S9'!$E$6:$E$15,"Diego")+COUNTIFS('S9'!$B$6:$B$15,$A47,'S9'!$E$6:$E$15,"Ambos")+COUNTIFS('S10'!$B$6:$B$13,$A47,'S10'!$E$6:$E$13,"Diego")+COUNTIFS('S10'!$B$6:$B$13,$A47,'S10'!$E$6:$E$13,"Ambos")+COUNTIFS('Holgura'!$B$6:$B$11,$A47,'Holgura'!$E$6:$E$11,"Diego")+COUNTIFS('Holgura'!$B$6:$B$11,$A47,'Holgura'!$E$6:$E$11,"Ambos")+COUNTIFS('Entrega'!$B$6:$B$9,$A47,'Entrega'!$E$6:$E$9,"Diego")+COUNTIFS('Entrega'!$B$6:$B$9,$A47,'Entrega'!$E$6:$E$9,"Ambos")+COUNTIFS('Defensa'!$B$6:$B$10,$A47,'Defensa'!$E$6:$E$10,"Diego")+COUNTIFS('Defensa'!$B$6:$B$10,$A47,'Defensa'!$E$6:$E$10,"Ambos")</f>
        <v/>
      </c>
    </row>
    <row r="48">
      <c r="A48" s="25" t="n">
        <v>46350</v>
      </c>
      <c r="B48" s="26">
        <f>A48</f>
        <v/>
      </c>
      <c r="C48" s="21">
        <f>IF(WEEKDAY(A48,2)&gt;5,4,2)</f>
        <v/>
      </c>
      <c r="D48" s="21">
        <f>SUMIFS('S1'!$I$6:$I$32,'S1'!$B$6:$B$32,$A48,'S1'!$E$6:$E$32,"Víctor")+SUMIFS('S1'!$I$6:$I$32,'S1'!$B$6:$B$32,$A48,'S1'!$E$6:$E$32,"Ambos")+SUMIFS('S2'!$I$6:$I$23,'S2'!$B$6:$B$23,$A48,'S2'!$E$6:$E$23,"Víctor")+SUMIFS('S2'!$I$6:$I$23,'S2'!$B$6:$B$23,$A48,'S2'!$E$6:$E$23,"Ambos")+SUMIFS('S3'!$I$6:$I$24,'S3'!$B$6:$B$24,$A48,'S3'!$E$6:$E$24,"Víctor")+SUMIFS('S3'!$I$6:$I$24,'S3'!$B$6:$B$24,$A48,'S3'!$E$6:$E$24,"Ambos")+SUMIFS('S4'!$I$6:$I$22,'S4'!$B$6:$B$22,$A48,'S4'!$E$6:$E$22,"Víctor")+SUMIFS('S4'!$I$6:$I$22,'S4'!$B$6:$B$22,$A48,'S4'!$E$6:$E$22,"Ambos")+SUMIFS('S5'!$I$6:$I$20,'S5'!$B$6:$B$20,$A48,'S5'!$E$6:$E$20,"Víctor")+SUMIFS('S5'!$I$6:$I$20,'S5'!$B$6:$B$20,$A48,'S5'!$E$6:$E$20,"Ambos")+SUMIFS('S6'!$I$6:$I$17,'S6'!$B$6:$B$17,$A48,'S6'!$E$6:$E$17,"Víctor")+SUMIFS('S6'!$I$6:$I$17,'S6'!$B$6:$B$17,$A48,'S6'!$E$6:$E$17,"Ambos")+SUMIFS('S7'!$I$6:$I$19,'S7'!$B$6:$B$19,$A48,'S7'!$E$6:$E$19,"Víctor")+SUMIFS('S7'!$I$6:$I$19,'S7'!$B$6:$B$19,$A48,'S7'!$E$6:$E$19,"Ambos")+SUMIFS('S8'!$I$6:$I$23,'S8'!$B$6:$B$23,$A48,'S8'!$E$6:$E$23,"Víctor")+SUMIFS('S8'!$I$6:$I$23,'S8'!$B$6:$B$23,$A48,'S8'!$E$6:$E$23,"Ambos")+SUMIFS('S9'!$I$6:$I$15,'S9'!$B$6:$B$15,$A48,'S9'!$E$6:$E$15,"Víctor")+SUMIFS('S9'!$I$6:$I$15,'S9'!$B$6:$B$15,$A48,'S9'!$E$6:$E$15,"Ambos")+SUMIFS('S10'!$I$6:$I$13,'S10'!$B$6:$B$13,$A48,'S10'!$E$6:$E$13,"Víctor")+SUMIFS('S10'!$I$6:$I$13,'S10'!$B$6:$B$13,$A48,'S10'!$E$6:$E$13,"Ambos")+SUMIFS('Holgura'!$I$6:$I$11,'Holgura'!$B$6:$B$11,$A48,'Holgura'!$E$6:$E$11,"Víctor")+SUMIFS('Holgura'!$I$6:$I$11,'Holgura'!$B$6:$B$11,$A48,'Holgura'!$E$6:$E$11,"Ambos")+SUMIFS('Entrega'!$I$6:$I$9,'Entrega'!$B$6:$B$9,$A48,'Entrega'!$E$6:$E$9,"Víctor")+SUMIFS('Entrega'!$I$6:$I$9,'Entrega'!$B$6:$B$9,$A48,'Entrega'!$E$6:$E$9,"Ambos")+SUMIFS('Defensa'!$I$6:$I$10,'Defensa'!$B$6:$B$10,$A48,'Defensa'!$E$6:$E$10,"Víctor")+SUMIFS('Defensa'!$I$6:$I$10,'Defensa'!$B$6:$B$10,$A48,'Defensa'!$E$6:$E$10,"Ambos")</f>
        <v/>
      </c>
      <c r="E48" s="21">
        <f>SUMIFS('S1'!$I$6:$I$32,'S1'!$B$6:$B$32,$A48,'S1'!$E$6:$E$32,"Diego")+SUMIFS('S1'!$I$6:$I$32,'S1'!$B$6:$B$32,$A48,'S1'!$E$6:$E$32,"Ambos")+SUMIFS('S2'!$I$6:$I$23,'S2'!$B$6:$B$23,$A48,'S2'!$E$6:$E$23,"Diego")+SUMIFS('S2'!$I$6:$I$23,'S2'!$B$6:$B$23,$A48,'S2'!$E$6:$E$23,"Ambos")+SUMIFS('S3'!$I$6:$I$24,'S3'!$B$6:$B$24,$A48,'S3'!$E$6:$E$24,"Diego")+SUMIFS('S3'!$I$6:$I$24,'S3'!$B$6:$B$24,$A48,'S3'!$E$6:$E$24,"Ambos")+SUMIFS('S4'!$I$6:$I$22,'S4'!$B$6:$B$22,$A48,'S4'!$E$6:$E$22,"Diego")+SUMIFS('S4'!$I$6:$I$22,'S4'!$B$6:$B$22,$A48,'S4'!$E$6:$E$22,"Ambos")+SUMIFS('S5'!$I$6:$I$20,'S5'!$B$6:$B$20,$A48,'S5'!$E$6:$E$20,"Diego")+SUMIFS('S5'!$I$6:$I$20,'S5'!$B$6:$B$20,$A48,'S5'!$E$6:$E$20,"Ambos")+SUMIFS('S6'!$I$6:$I$17,'S6'!$B$6:$B$17,$A48,'S6'!$E$6:$E$17,"Diego")+SUMIFS('S6'!$I$6:$I$17,'S6'!$B$6:$B$17,$A48,'S6'!$E$6:$E$17,"Ambos")+SUMIFS('S7'!$I$6:$I$19,'S7'!$B$6:$B$19,$A48,'S7'!$E$6:$E$19,"Diego")+SUMIFS('S7'!$I$6:$I$19,'S7'!$B$6:$B$19,$A48,'S7'!$E$6:$E$19,"Ambos")+SUMIFS('S8'!$I$6:$I$23,'S8'!$B$6:$B$23,$A48,'S8'!$E$6:$E$23,"Diego")+SUMIFS('S8'!$I$6:$I$23,'S8'!$B$6:$B$23,$A48,'S8'!$E$6:$E$23,"Ambos")+SUMIFS('S9'!$I$6:$I$15,'S9'!$B$6:$B$15,$A48,'S9'!$E$6:$E$15,"Diego")+SUMIFS('S9'!$I$6:$I$15,'S9'!$B$6:$B$15,$A48,'S9'!$E$6:$E$15,"Ambos")+SUMIFS('S10'!$I$6:$I$13,'S10'!$B$6:$B$13,$A48,'S10'!$E$6:$E$13,"Diego")+SUMIFS('S10'!$I$6:$I$13,'S10'!$B$6:$B$13,$A48,'S10'!$E$6:$E$13,"Ambos")+SUMIFS('Holgura'!$I$6:$I$11,'Holgura'!$B$6:$B$11,$A48,'Holgura'!$E$6:$E$11,"Diego")+SUMIFS('Holgura'!$I$6:$I$11,'Holgura'!$B$6:$B$11,$A48,'Holgura'!$E$6:$E$11,"Ambos")+SUMIFS('Entrega'!$I$6:$I$9,'Entrega'!$B$6:$B$9,$A48,'Entrega'!$E$6:$E$9,"Diego")+SUMIFS('Entrega'!$I$6:$I$9,'Entrega'!$B$6:$B$9,$A48,'Entrega'!$E$6:$E$9,"Ambos")+SUMIFS('Defensa'!$I$6:$I$10,'Defensa'!$B$6:$B$10,$A48,'Defensa'!$E$6:$E$10,"Diego")+SUMIFS('Defensa'!$I$6:$I$10,'Defensa'!$B$6:$B$10,$A48,'Defensa'!$E$6:$E$10,"Ambos")</f>
        <v/>
      </c>
      <c r="F48" s="21">
        <f>COUNTIFS('S1'!$B$6:$B$32,$A48,'S1'!$E$6:$E$32,"Víctor")+COUNTIFS('S1'!$B$6:$B$32,$A48,'S1'!$E$6:$E$32,"Ambos")+COUNTIFS('S2'!$B$6:$B$23,$A48,'S2'!$E$6:$E$23,"Víctor")+COUNTIFS('S2'!$B$6:$B$23,$A48,'S2'!$E$6:$E$23,"Ambos")+COUNTIFS('S3'!$B$6:$B$24,$A48,'S3'!$E$6:$E$24,"Víctor")+COUNTIFS('S3'!$B$6:$B$24,$A48,'S3'!$E$6:$E$24,"Ambos")+COUNTIFS('S4'!$B$6:$B$22,$A48,'S4'!$E$6:$E$22,"Víctor")+COUNTIFS('S4'!$B$6:$B$22,$A48,'S4'!$E$6:$E$22,"Ambos")+COUNTIFS('S5'!$B$6:$B$20,$A48,'S5'!$E$6:$E$20,"Víctor")+COUNTIFS('S5'!$B$6:$B$20,$A48,'S5'!$E$6:$E$20,"Ambos")+COUNTIFS('S6'!$B$6:$B$17,$A48,'S6'!$E$6:$E$17,"Víctor")+COUNTIFS('S6'!$B$6:$B$17,$A48,'S6'!$E$6:$E$17,"Ambos")+COUNTIFS('S7'!$B$6:$B$19,$A48,'S7'!$E$6:$E$19,"Víctor")+COUNTIFS('S7'!$B$6:$B$19,$A48,'S7'!$E$6:$E$19,"Ambos")+COUNTIFS('S8'!$B$6:$B$23,$A48,'S8'!$E$6:$E$23,"Víctor")+COUNTIFS('S8'!$B$6:$B$23,$A48,'S8'!$E$6:$E$23,"Ambos")+COUNTIFS('S9'!$B$6:$B$15,$A48,'S9'!$E$6:$E$15,"Víctor")+COUNTIFS('S9'!$B$6:$B$15,$A48,'S9'!$E$6:$E$15,"Ambos")+COUNTIFS('S10'!$B$6:$B$13,$A48,'S10'!$E$6:$E$13,"Víctor")+COUNTIFS('S10'!$B$6:$B$13,$A48,'S10'!$E$6:$E$13,"Ambos")+COUNTIFS('Holgura'!$B$6:$B$11,$A48,'Holgura'!$E$6:$E$11,"Víctor")+COUNTIFS('Holgura'!$B$6:$B$11,$A48,'Holgura'!$E$6:$E$11,"Ambos")+COUNTIFS('Entrega'!$B$6:$B$9,$A48,'Entrega'!$E$6:$E$9,"Víctor")+COUNTIFS('Entrega'!$B$6:$B$9,$A48,'Entrega'!$E$6:$E$9,"Ambos")+COUNTIFS('Defensa'!$B$6:$B$10,$A48,'Defensa'!$E$6:$E$10,"Víctor")+COUNTIFS('Defensa'!$B$6:$B$10,$A48,'Defensa'!$E$6:$E$10,"Ambos")</f>
        <v/>
      </c>
      <c r="G48" s="21">
        <f>COUNTIFS('S1'!$B$6:$B$32,$A48,'S1'!$E$6:$E$32,"Diego")+COUNTIFS('S1'!$B$6:$B$32,$A48,'S1'!$E$6:$E$32,"Ambos")+COUNTIFS('S2'!$B$6:$B$23,$A48,'S2'!$E$6:$E$23,"Diego")+COUNTIFS('S2'!$B$6:$B$23,$A48,'S2'!$E$6:$E$23,"Ambos")+COUNTIFS('S3'!$B$6:$B$24,$A48,'S3'!$E$6:$E$24,"Diego")+COUNTIFS('S3'!$B$6:$B$24,$A48,'S3'!$E$6:$E$24,"Ambos")+COUNTIFS('S4'!$B$6:$B$22,$A48,'S4'!$E$6:$E$22,"Diego")+COUNTIFS('S4'!$B$6:$B$22,$A48,'S4'!$E$6:$E$22,"Ambos")+COUNTIFS('S5'!$B$6:$B$20,$A48,'S5'!$E$6:$E$20,"Diego")+COUNTIFS('S5'!$B$6:$B$20,$A48,'S5'!$E$6:$E$20,"Ambos")+COUNTIFS('S6'!$B$6:$B$17,$A48,'S6'!$E$6:$E$17,"Diego")+COUNTIFS('S6'!$B$6:$B$17,$A48,'S6'!$E$6:$E$17,"Ambos")+COUNTIFS('S7'!$B$6:$B$19,$A48,'S7'!$E$6:$E$19,"Diego")+COUNTIFS('S7'!$B$6:$B$19,$A48,'S7'!$E$6:$E$19,"Ambos")+COUNTIFS('S8'!$B$6:$B$23,$A48,'S8'!$E$6:$E$23,"Diego")+COUNTIFS('S8'!$B$6:$B$23,$A48,'S8'!$E$6:$E$23,"Ambos")+COUNTIFS('S9'!$B$6:$B$15,$A48,'S9'!$E$6:$E$15,"Diego")+COUNTIFS('S9'!$B$6:$B$15,$A48,'S9'!$E$6:$E$15,"Ambos")+COUNTIFS('S10'!$B$6:$B$13,$A48,'S10'!$E$6:$E$13,"Diego")+COUNTIFS('S10'!$B$6:$B$13,$A48,'S10'!$E$6:$E$13,"Ambos")+COUNTIFS('Holgura'!$B$6:$B$11,$A48,'Holgura'!$E$6:$E$11,"Diego")+COUNTIFS('Holgura'!$B$6:$B$11,$A48,'Holgura'!$E$6:$E$11,"Ambos")+COUNTIFS('Entrega'!$B$6:$B$9,$A48,'Entrega'!$E$6:$E$9,"Diego")+COUNTIFS('Entrega'!$B$6:$B$9,$A48,'Entrega'!$E$6:$E$9,"Ambos")+COUNTIFS('Defensa'!$B$6:$B$10,$A48,'Defensa'!$E$6:$E$10,"Diego")+COUNTIFS('Defensa'!$B$6:$B$10,$A48,'Defensa'!$E$6:$E$10,"Ambos")</f>
        <v/>
      </c>
    </row>
    <row r="49">
      <c r="A49" s="25" t="n">
        <v>46351</v>
      </c>
      <c r="B49" s="26">
        <f>A49</f>
        <v/>
      </c>
      <c r="C49" s="21">
        <f>IF(WEEKDAY(A49,2)&gt;5,4,2)</f>
        <v/>
      </c>
      <c r="D49" s="21">
        <f>SUMIFS('S1'!$I$6:$I$32,'S1'!$B$6:$B$32,$A49,'S1'!$E$6:$E$32,"Víctor")+SUMIFS('S1'!$I$6:$I$32,'S1'!$B$6:$B$32,$A49,'S1'!$E$6:$E$32,"Ambos")+SUMIFS('S2'!$I$6:$I$23,'S2'!$B$6:$B$23,$A49,'S2'!$E$6:$E$23,"Víctor")+SUMIFS('S2'!$I$6:$I$23,'S2'!$B$6:$B$23,$A49,'S2'!$E$6:$E$23,"Ambos")+SUMIFS('S3'!$I$6:$I$24,'S3'!$B$6:$B$24,$A49,'S3'!$E$6:$E$24,"Víctor")+SUMIFS('S3'!$I$6:$I$24,'S3'!$B$6:$B$24,$A49,'S3'!$E$6:$E$24,"Ambos")+SUMIFS('S4'!$I$6:$I$22,'S4'!$B$6:$B$22,$A49,'S4'!$E$6:$E$22,"Víctor")+SUMIFS('S4'!$I$6:$I$22,'S4'!$B$6:$B$22,$A49,'S4'!$E$6:$E$22,"Ambos")+SUMIFS('S5'!$I$6:$I$20,'S5'!$B$6:$B$20,$A49,'S5'!$E$6:$E$20,"Víctor")+SUMIFS('S5'!$I$6:$I$20,'S5'!$B$6:$B$20,$A49,'S5'!$E$6:$E$20,"Ambos")+SUMIFS('S6'!$I$6:$I$17,'S6'!$B$6:$B$17,$A49,'S6'!$E$6:$E$17,"Víctor")+SUMIFS('S6'!$I$6:$I$17,'S6'!$B$6:$B$17,$A49,'S6'!$E$6:$E$17,"Ambos")+SUMIFS('S7'!$I$6:$I$19,'S7'!$B$6:$B$19,$A49,'S7'!$E$6:$E$19,"Víctor")+SUMIFS('S7'!$I$6:$I$19,'S7'!$B$6:$B$19,$A49,'S7'!$E$6:$E$19,"Ambos")+SUMIFS('S8'!$I$6:$I$23,'S8'!$B$6:$B$23,$A49,'S8'!$E$6:$E$23,"Víctor")+SUMIFS('S8'!$I$6:$I$23,'S8'!$B$6:$B$23,$A49,'S8'!$E$6:$E$23,"Ambos")+SUMIFS('S9'!$I$6:$I$15,'S9'!$B$6:$B$15,$A49,'S9'!$E$6:$E$15,"Víctor")+SUMIFS('S9'!$I$6:$I$15,'S9'!$B$6:$B$15,$A49,'S9'!$E$6:$E$15,"Ambos")+SUMIFS('S10'!$I$6:$I$13,'S10'!$B$6:$B$13,$A49,'S10'!$E$6:$E$13,"Víctor")+SUMIFS('S10'!$I$6:$I$13,'S10'!$B$6:$B$13,$A49,'S10'!$E$6:$E$13,"Ambos")+SUMIFS('Holgura'!$I$6:$I$11,'Holgura'!$B$6:$B$11,$A49,'Holgura'!$E$6:$E$11,"Víctor")+SUMIFS('Holgura'!$I$6:$I$11,'Holgura'!$B$6:$B$11,$A49,'Holgura'!$E$6:$E$11,"Ambos")+SUMIFS('Entrega'!$I$6:$I$9,'Entrega'!$B$6:$B$9,$A49,'Entrega'!$E$6:$E$9,"Víctor")+SUMIFS('Entrega'!$I$6:$I$9,'Entrega'!$B$6:$B$9,$A49,'Entrega'!$E$6:$E$9,"Ambos")+SUMIFS('Defensa'!$I$6:$I$10,'Defensa'!$B$6:$B$10,$A49,'Defensa'!$E$6:$E$10,"Víctor")+SUMIFS('Defensa'!$I$6:$I$10,'Defensa'!$B$6:$B$10,$A49,'Defensa'!$E$6:$E$10,"Ambos")</f>
        <v/>
      </c>
      <c r="E49" s="21">
        <f>SUMIFS('S1'!$I$6:$I$32,'S1'!$B$6:$B$32,$A49,'S1'!$E$6:$E$32,"Diego")+SUMIFS('S1'!$I$6:$I$32,'S1'!$B$6:$B$32,$A49,'S1'!$E$6:$E$32,"Ambos")+SUMIFS('S2'!$I$6:$I$23,'S2'!$B$6:$B$23,$A49,'S2'!$E$6:$E$23,"Diego")+SUMIFS('S2'!$I$6:$I$23,'S2'!$B$6:$B$23,$A49,'S2'!$E$6:$E$23,"Ambos")+SUMIFS('S3'!$I$6:$I$24,'S3'!$B$6:$B$24,$A49,'S3'!$E$6:$E$24,"Diego")+SUMIFS('S3'!$I$6:$I$24,'S3'!$B$6:$B$24,$A49,'S3'!$E$6:$E$24,"Ambos")+SUMIFS('S4'!$I$6:$I$22,'S4'!$B$6:$B$22,$A49,'S4'!$E$6:$E$22,"Diego")+SUMIFS('S4'!$I$6:$I$22,'S4'!$B$6:$B$22,$A49,'S4'!$E$6:$E$22,"Ambos")+SUMIFS('S5'!$I$6:$I$20,'S5'!$B$6:$B$20,$A49,'S5'!$E$6:$E$20,"Diego")+SUMIFS('S5'!$I$6:$I$20,'S5'!$B$6:$B$20,$A49,'S5'!$E$6:$E$20,"Ambos")+SUMIFS('S6'!$I$6:$I$17,'S6'!$B$6:$B$17,$A49,'S6'!$E$6:$E$17,"Diego")+SUMIFS('S6'!$I$6:$I$17,'S6'!$B$6:$B$17,$A49,'S6'!$E$6:$E$17,"Ambos")+SUMIFS('S7'!$I$6:$I$19,'S7'!$B$6:$B$19,$A49,'S7'!$E$6:$E$19,"Diego")+SUMIFS('S7'!$I$6:$I$19,'S7'!$B$6:$B$19,$A49,'S7'!$E$6:$E$19,"Ambos")+SUMIFS('S8'!$I$6:$I$23,'S8'!$B$6:$B$23,$A49,'S8'!$E$6:$E$23,"Diego")+SUMIFS('S8'!$I$6:$I$23,'S8'!$B$6:$B$23,$A49,'S8'!$E$6:$E$23,"Ambos")+SUMIFS('S9'!$I$6:$I$15,'S9'!$B$6:$B$15,$A49,'S9'!$E$6:$E$15,"Diego")+SUMIFS('S9'!$I$6:$I$15,'S9'!$B$6:$B$15,$A49,'S9'!$E$6:$E$15,"Ambos")+SUMIFS('S10'!$I$6:$I$13,'S10'!$B$6:$B$13,$A49,'S10'!$E$6:$E$13,"Diego")+SUMIFS('S10'!$I$6:$I$13,'S10'!$B$6:$B$13,$A49,'S10'!$E$6:$E$13,"Ambos")+SUMIFS('Holgura'!$I$6:$I$11,'Holgura'!$B$6:$B$11,$A49,'Holgura'!$E$6:$E$11,"Diego")+SUMIFS('Holgura'!$I$6:$I$11,'Holgura'!$B$6:$B$11,$A49,'Holgura'!$E$6:$E$11,"Ambos")+SUMIFS('Entrega'!$I$6:$I$9,'Entrega'!$B$6:$B$9,$A49,'Entrega'!$E$6:$E$9,"Diego")+SUMIFS('Entrega'!$I$6:$I$9,'Entrega'!$B$6:$B$9,$A49,'Entrega'!$E$6:$E$9,"Ambos")+SUMIFS('Defensa'!$I$6:$I$10,'Defensa'!$B$6:$B$10,$A49,'Defensa'!$E$6:$E$10,"Diego")+SUMIFS('Defensa'!$I$6:$I$10,'Defensa'!$B$6:$B$10,$A49,'Defensa'!$E$6:$E$10,"Ambos")</f>
        <v/>
      </c>
      <c r="F49" s="21">
        <f>COUNTIFS('S1'!$B$6:$B$32,$A49,'S1'!$E$6:$E$32,"Víctor")+COUNTIFS('S1'!$B$6:$B$32,$A49,'S1'!$E$6:$E$32,"Ambos")+COUNTIFS('S2'!$B$6:$B$23,$A49,'S2'!$E$6:$E$23,"Víctor")+COUNTIFS('S2'!$B$6:$B$23,$A49,'S2'!$E$6:$E$23,"Ambos")+COUNTIFS('S3'!$B$6:$B$24,$A49,'S3'!$E$6:$E$24,"Víctor")+COUNTIFS('S3'!$B$6:$B$24,$A49,'S3'!$E$6:$E$24,"Ambos")+COUNTIFS('S4'!$B$6:$B$22,$A49,'S4'!$E$6:$E$22,"Víctor")+COUNTIFS('S4'!$B$6:$B$22,$A49,'S4'!$E$6:$E$22,"Ambos")+COUNTIFS('S5'!$B$6:$B$20,$A49,'S5'!$E$6:$E$20,"Víctor")+COUNTIFS('S5'!$B$6:$B$20,$A49,'S5'!$E$6:$E$20,"Ambos")+COUNTIFS('S6'!$B$6:$B$17,$A49,'S6'!$E$6:$E$17,"Víctor")+COUNTIFS('S6'!$B$6:$B$17,$A49,'S6'!$E$6:$E$17,"Ambos")+COUNTIFS('S7'!$B$6:$B$19,$A49,'S7'!$E$6:$E$19,"Víctor")+COUNTIFS('S7'!$B$6:$B$19,$A49,'S7'!$E$6:$E$19,"Ambos")+COUNTIFS('S8'!$B$6:$B$23,$A49,'S8'!$E$6:$E$23,"Víctor")+COUNTIFS('S8'!$B$6:$B$23,$A49,'S8'!$E$6:$E$23,"Ambos")+COUNTIFS('S9'!$B$6:$B$15,$A49,'S9'!$E$6:$E$15,"Víctor")+COUNTIFS('S9'!$B$6:$B$15,$A49,'S9'!$E$6:$E$15,"Ambos")+COUNTIFS('S10'!$B$6:$B$13,$A49,'S10'!$E$6:$E$13,"Víctor")+COUNTIFS('S10'!$B$6:$B$13,$A49,'S10'!$E$6:$E$13,"Ambos")+COUNTIFS('Holgura'!$B$6:$B$11,$A49,'Holgura'!$E$6:$E$11,"Víctor")+COUNTIFS('Holgura'!$B$6:$B$11,$A49,'Holgura'!$E$6:$E$11,"Ambos")+COUNTIFS('Entrega'!$B$6:$B$9,$A49,'Entrega'!$E$6:$E$9,"Víctor")+COUNTIFS('Entrega'!$B$6:$B$9,$A49,'Entrega'!$E$6:$E$9,"Ambos")+COUNTIFS('Defensa'!$B$6:$B$10,$A49,'Defensa'!$E$6:$E$10,"Víctor")+COUNTIFS('Defensa'!$B$6:$B$10,$A49,'Defensa'!$E$6:$E$10,"Ambos")</f>
        <v/>
      </c>
      <c r="G49" s="21">
        <f>COUNTIFS('S1'!$B$6:$B$32,$A49,'S1'!$E$6:$E$32,"Diego")+COUNTIFS('S1'!$B$6:$B$32,$A49,'S1'!$E$6:$E$32,"Ambos")+COUNTIFS('S2'!$B$6:$B$23,$A49,'S2'!$E$6:$E$23,"Diego")+COUNTIFS('S2'!$B$6:$B$23,$A49,'S2'!$E$6:$E$23,"Ambos")+COUNTIFS('S3'!$B$6:$B$24,$A49,'S3'!$E$6:$E$24,"Diego")+COUNTIFS('S3'!$B$6:$B$24,$A49,'S3'!$E$6:$E$24,"Ambos")+COUNTIFS('S4'!$B$6:$B$22,$A49,'S4'!$E$6:$E$22,"Diego")+COUNTIFS('S4'!$B$6:$B$22,$A49,'S4'!$E$6:$E$22,"Ambos")+COUNTIFS('S5'!$B$6:$B$20,$A49,'S5'!$E$6:$E$20,"Diego")+COUNTIFS('S5'!$B$6:$B$20,$A49,'S5'!$E$6:$E$20,"Ambos")+COUNTIFS('S6'!$B$6:$B$17,$A49,'S6'!$E$6:$E$17,"Diego")+COUNTIFS('S6'!$B$6:$B$17,$A49,'S6'!$E$6:$E$17,"Ambos")+COUNTIFS('S7'!$B$6:$B$19,$A49,'S7'!$E$6:$E$19,"Diego")+COUNTIFS('S7'!$B$6:$B$19,$A49,'S7'!$E$6:$E$19,"Ambos")+COUNTIFS('S8'!$B$6:$B$23,$A49,'S8'!$E$6:$E$23,"Diego")+COUNTIFS('S8'!$B$6:$B$23,$A49,'S8'!$E$6:$E$23,"Ambos")+COUNTIFS('S9'!$B$6:$B$15,$A49,'S9'!$E$6:$E$15,"Diego")+COUNTIFS('S9'!$B$6:$B$15,$A49,'S9'!$E$6:$E$15,"Ambos")+COUNTIFS('S10'!$B$6:$B$13,$A49,'S10'!$E$6:$E$13,"Diego")+COUNTIFS('S10'!$B$6:$B$13,$A49,'S10'!$E$6:$E$13,"Ambos")+COUNTIFS('Holgura'!$B$6:$B$11,$A49,'Holgura'!$E$6:$E$11,"Diego")+COUNTIFS('Holgura'!$B$6:$B$11,$A49,'Holgura'!$E$6:$E$11,"Ambos")+COUNTIFS('Entrega'!$B$6:$B$9,$A49,'Entrega'!$E$6:$E$9,"Diego")+COUNTIFS('Entrega'!$B$6:$B$9,$A49,'Entrega'!$E$6:$E$9,"Ambos")+COUNTIFS('Defensa'!$B$6:$B$10,$A49,'Defensa'!$E$6:$E$10,"Diego")+COUNTIFS('Defensa'!$B$6:$B$10,$A49,'Defensa'!$E$6:$E$10,"Ambos")</f>
        <v/>
      </c>
    </row>
    <row r="50">
      <c r="A50" s="25" t="n">
        <v>46352</v>
      </c>
      <c r="B50" s="26">
        <f>A50</f>
        <v/>
      </c>
      <c r="C50" s="21">
        <f>IF(WEEKDAY(A50,2)&gt;5,4,2)</f>
        <v/>
      </c>
      <c r="D50" s="21">
        <f>SUMIFS('S1'!$I$6:$I$32,'S1'!$B$6:$B$32,$A50,'S1'!$E$6:$E$32,"Víctor")+SUMIFS('S1'!$I$6:$I$32,'S1'!$B$6:$B$32,$A50,'S1'!$E$6:$E$32,"Ambos")+SUMIFS('S2'!$I$6:$I$23,'S2'!$B$6:$B$23,$A50,'S2'!$E$6:$E$23,"Víctor")+SUMIFS('S2'!$I$6:$I$23,'S2'!$B$6:$B$23,$A50,'S2'!$E$6:$E$23,"Ambos")+SUMIFS('S3'!$I$6:$I$24,'S3'!$B$6:$B$24,$A50,'S3'!$E$6:$E$24,"Víctor")+SUMIFS('S3'!$I$6:$I$24,'S3'!$B$6:$B$24,$A50,'S3'!$E$6:$E$24,"Ambos")+SUMIFS('S4'!$I$6:$I$22,'S4'!$B$6:$B$22,$A50,'S4'!$E$6:$E$22,"Víctor")+SUMIFS('S4'!$I$6:$I$22,'S4'!$B$6:$B$22,$A50,'S4'!$E$6:$E$22,"Ambos")+SUMIFS('S5'!$I$6:$I$20,'S5'!$B$6:$B$20,$A50,'S5'!$E$6:$E$20,"Víctor")+SUMIFS('S5'!$I$6:$I$20,'S5'!$B$6:$B$20,$A50,'S5'!$E$6:$E$20,"Ambos")+SUMIFS('S6'!$I$6:$I$17,'S6'!$B$6:$B$17,$A50,'S6'!$E$6:$E$17,"Víctor")+SUMIFS('S6'!$I$6:$I$17,'S6'!$B$6:$B$17,$A50,'S6'!$E$6:$E$17,"Ambos")+SUMIFS('S7'!$I$6:$I$19,'S7'!$B$6:$B$19,$A50,'S7'!$E$6:$E$19,"Víctor")+SUMIFS('S7'!$I$6:$I$19,'S7'!$B$6:$B$19,$A50,'S7'!$E$6:$E$19,"Ambos")+SUMIFS('S8'!$I$6:$I$23,'S8'!$B$6:$B$23,$A50,'S8'!$E$6:$E$23,"Víctor")+SUMIFS('S8'!$I$6:$I$23,'S8'!$B$6:$B$23,$A50,'S8'!$E$6:$E$23,"Ambos")+SUMIFS('S9'!$I$6:$I$15,'S9'!$B$6:$B$15,$A50,'S9'!$E$6:$E$15,"Víctor")+SUMIFS('S9'!$I$6:$I$15,'S9'!$B$6:$B$15,$A50,'S9'!$E$6:$E$15,"Ambos")+SUMIFS('S10'!$I$6:$I$13,'S10'!$B$6:$B$13,$A50,'S10'!$E$6:$E$13,"Víctor")+SUMIFS('S10'!$I$6:$I$13,'S10'!$B$6:$B$13,$A50,'S10'!$E$6:$E$13,"Ambos")+SUMIFS('Holgura'!$I$6:$I$11,'Holgura'!$B$6:$B$11,$A50,'Holgura'!$E$6:$E$11,"Víctor")+SUMIFS('Holgura'!$I$6:$I$11,'Holgura'!$B$6:$B$11,$A50,'Holgura'!$E$6:$E$11,"Ambos")+SUMIFS('Entrega'!$I$6:$I$9,'Entrega'!$B$6:$B$9,$A50,'Entrega'!$E$6:$E$9,"Víctor")+SUMIFS('Entrega'!$I$6:$I$9,'Entrega'!$B$6:$B$9,$A50,'Entrega'!$E$6:$E$9,"Ambos")+SUMIFS('Defensa'!$I$6:$I$10,'Defensa'!$B$6:$B$10,$A50,'Defensa'!$E$6:$E$10,"Víctor")+SUMIFS('Defensa'!$I$6:$I$10,'Defensa'!$B$6:$B$10,$A50,'Defensa'!$E$6:$E$10,"Ambos")</f>
        <v/>
      </c>
      <c r="E50" s="21">
        <f>SUMIFS('S1'!$I$6:$I$32,'S1'!$B$6:$B$32,$A50,'S1'!$E$6:$E$32,"Diego")+SUMIFS('S1'!$I$6:$I$32,'S1'!$B$6:$B$32,$A50,'S1'!$E$6:$E$32,"Ambos")+SUMIFS('S2'!$I$6:$I$23,'S2'!$B$6:$B$23,$A50,'S2'!$E$6:$E$23,"Diego")+SUMIFS('S2'!$I$6:$I$23,'S2'!$B$6:$B$23,$A50,'S2'!$E$6:$E$23,"Ambos")+SUMIFS('S3'!$I$6:$I$24,'S3'!$B$6:$B$24,$A50,'S3'!$E$6:$E$24,"Diego")+SUMIFS('S3'!$I$6:$I$24,'S3'!$B$6:$B$24,$A50,'S3'!$E$6:$E$24,"Ambos")+SUMIFS('S4'!$I$6:$I$22,'S4'!$B$6:$B$22,$A50,'S4'!$E$6:$E$22,"Diego")+SUMIFS('S4'!$I$6:$I$22,'S4'!$B$6:$B$22,$A50,'S4'!$E$6:$E$22,"Ambos")+SUMIFS('S5'!$I$6:$I$20,'S5'!$B$6:$B$20,$A50,'S5'!$E$6:$E$20,"Diego")+SUMIFS('S5'!$I$6:$I$20,'S5'!$B$6:$B$20,$A50,'S5'!$E$6:$E$20,"Ambos")+SUMIFS('S6'!$I$6:$I$17,'S6'!$B$6:$B$17,$A50,'S6'!$E$6:$E$17,"Diego")+SUMIFS('S6'!$I$6:$I$17,'S6'!$B$6:$B$17,$A50,'S6'!$E$6:$E$17,"Ambos")+SUMIFS('S7'!$I$6:$I$19,'S7'!$B$6:$B$19,$A50,'S7'!$E$6:$E$19,"Diego")+SUMIFS('S7'!$I$6:$I$19,'S7'!$B$6:$B$19,$A50,'S7'!$E$6:$E$19,"Ambos")+SUMIFS('S8'!$I$6:$I$23,'S8'!$B$6:$B$23,$A50,'S8'!$E$6:$E$23,"Diego")+SUMIFS('S8'!$I$6:$I$23,'S8'!$B$6:$B$23,$A50,'S8'!$E$6:$E$23,"Ambos")+SUMIFS('S9'!$I$6:$I$15,'S9'!$B$6:$B$15,$A50,'S9'!$E$6:$E$15,"Diego")+SUMIFS('S9'!$I$6:$I$15,'S9'!$B$6:$B$15,$A50,'S9'!$E$6:$E$15,"Ambos")+SUMIFS('S10'!$I$6:$I$13,'S10'!$B$6:$B$13,$A50,'S10'!$E$6:$E$13,"Diego")+SUMIFS('S10'!$I$6:$I$13,'S10'!$B$6:$B$13,$A50,'S10'!$E$6:$E$13,"Ambos")+SUMIFS('Holgura'!$I$6:$I$11,'Holgura'!$B$6:$B$11,$A50,'Holgura'!$E$6:$E$11,"Diego")+SUMIFS('Holgura'!$I$6:$I$11,'Holgura'!$B$6:$B$11,$A50,'Holgura'!$E$6:$E$11,"Ambos")+SUMIFS('Entrega'!$I$6:$I$9,'Entrega'!$B$6:$B$9,$A50,'Entrega'!$E$6:$E$9,"Diego")+SUMIFS('Entrega'!$I$6:$I$9,'Entrega'!$B$6:$B$9,$A50,'Entrega'!$E$6:$E$9,"Ambos")+SUMIFS('Defensa'!$I$6:$I$10,'Defensa'!$B$6:$B$10,$A50,'Defensa'!$E$6:$E$10,"Diego")+SUMIFS('Defensa'!$I$6:$I$10,'Defensa'!$B$6:$B$10,$A50,'Defensa'!$E$6:$E$10,"Ambos")</f>
        <v/>
      </c>
      <c r="F50" s="21">
        <f>COUNTIFS('S1'!$B$6:$B$32,$A50,'S1'!$E$6:$E$32,"Víctor")+COUNTIFS('S1'!$B$6:$B$32,$A50,'S1'!$E$6:$E$32,"Ambos")+COUNTIFS('S2'!$B$6:$B$23,$A50,'S2'!$E$6:$E$23,"Víctor")+COUNTIFS('S2'!$B$6:$B$23,$A50,'S2'!$E$6:$E$23,"Ambos")+COUNTIFS('S3'!$B$6:$B$24,$A50,'S3'!$E$6:$E$24,"Víctor")+COUNTIFS('S3'!$B$6:$B$24,$A50,'S3'!$E$6:$E$24,"Ambos")+COUNTIFS('S4'!$B$6:$B$22,$A50,'S4'!$E$6:$E$22,"Víctor")+COUNTIFS('S4'!$B$6:$B$22,$A50,'S4'!$E$6:$E$22,"Ambos")+COUNTIFS('S5'!$B$6:$B$20,$A50,'S5'!$E$6:$E$20,"Víctor")+COUNTIFS('S5'!$B$6:$B$20,$A50,'S5'!$E$6:$E$20,"Ambos")+COUNTIFS('S6'!$B$6:$B$17,$A50,'S6'!$E$6:$E$17,"Víctor")+COUNTIFS('S6'!$B$6:$B$17,$A50,'S6'!$E$6:$E$17,"Ambos")+COUNTIFS('S7'!$B$6:$B$19,$A50,'S7'!$E$6:$E$19,"Víctor")+COUNTIFS('S7'!$B$6:$B$19,$A50,'S7'!$E$6:$E$19,"Ambos")+COUNTIFS('S8'!$B$6:$B$23,$A50,'S8'!$E$6:$E$23,"Víctor")+COUNTIFS('S8'!$B$6:$B$23,$A50,'S8'!$E$6:$E$23,"Ambos")+COUNTIFS('S9'!$B$6:$B$15,$A50,'S9'!$E$6:$E$15,"Víctor")+COUNTIFS('S9'!$B$6:$B$15,$A50,'S9'!$E$6:$E$15,"Ambos")+COUNTIFS('S10'!$B$6:$B$13,$A50,'S10'!$E$6:$E$13,"Víctor")+COUNTIFS('S10'!$B$6:$B$13,$A50,'S10'!$E$6:$E$13,"Ambos")+COUNTIFS('Holgura'!$B$6:$B$11,$A50,'Holgura'!$E$6:$E$11,"Víctor")+COUNTIFS('Holgura'!$B$6:$B$11,$A50,'Holgura'!$E$6:$E$11,"Ambos")+COUNTIFS('Entrega'!$B$6:$B$9,$A50,'Entrega'!$E$6:$E$9,"Víctor")+COUNTIFS('Entrega'!$B$6:$B$9,$A50,'Entrega'!$E$6:$E$9,"Ambos")+COUNTIFS('Defensa'!$B$6:$B$10,$A50,'Defensa'!$E$6:$E$10,"Víctor")+COUNTIFS('Defensa'!$B$6:$B$10,$A50,'Defensa'!$E$6:$E$10,"Ambos")</f>
        <v/>
      </c>
      <c r="G50" s="21">
        <f>COUNTIFS('S1'!$B$6:$B$32,$A50,'S1'!$E$6:$E$32,"Diego")+COUNTIFS('S1'!$B$6:$B$32,$A50,'S1'!$E$6:$E$32,"Ambos")+COUNTIFS('S2'!$B$6:$B$23,$A50,'S2'!$E$6:$E$23,"Diego")+COUNTIFS('S2'!$B$6:$B$23,$A50,'S2'!$E$6:$E$23,"Ambos")+COUNTIFS('S3'!$B$6:$B$24,$A50,'S3'!$E$6:$E$24,"Diego")+COUNTIFS('S3'!$B$6:$B$24,$A50,'S3'!$E$6:$E$24,"Ambos")+COUNTIFS('S4'!$B$6:$B$22,$A50,'S4'!$E$6:$E$22,"Diego")+COUNTIFS('S4'!$B$6:$B$22,$A50,'S4'!$E$6:$E$22,"Ambos")+COUNTIFS('S5'!$B$6:$B$20,$A50,'S5'!$E$6:$E$20,"Diego")+COUNTIFS('S5'!$B$6:$B$20,$A50,'S5'!$E$6:$E$20,"Ambos")+COUNTIFS('S6'!$B$6:$B$17,$A50,'S6'!$E$6:$E$17,"Diego")+COUNTIFS('S6'!$B$6:$B$17,$A50,'S6'!$E$6:$E$17,"Ambos")+COUNTIFS('S7'!$B$6:$B$19,$A50,'S7'!$E$6:$E$19,"Diego")+COUNTIFS('S7'!$B$6:$B$19,$A50,'S7'!$E$6:$E$19,"Ambos")+COUNTIFS('S8'!$B$6:$B$23,$A50,'S8'!$E$6:$E$23,"Diego")+COUNTIFS('S8'!$B$6:$B$23,$A50,'S8'!$E$6:$E$23,"Ambos")+COUNTIFS('S9'!$B$6:$B$15,$A50,'S9'!$E$6:$E$15,"Diego")+COUNTIFS('S9'!$B$6:$B$15,$A50,'S9'!$E$6:$E$15,"Ambos")+COUNTIFS('S10'!$B$6:$B$13,$A50,'S10'!$E$6:$E$13,"Diego")+COUNTIFS('S10'!$B$6:$B$13,$A50,'S10'!$E$6:$E$13,"Ambos")+COUNTIFS('Holgura'!$B$6:$B$11,$A50,'Holgura'!$E$6:$E$11,"Diego")+COUNTIFS('Holgura'!$B$6:$B$11,$A50,'Holgura'!$E$6:$E$11,"Ambos")+COUNTIFS('Entrega'!$B$6:$B$9,$A50,'Entrega'!$E$6:$E$9,"Diego")+COUNTIFS('Entrega'!$B$6:$B$9,$A50,'Entrega'!$E$6:$E$9,"Ambos")+COUNTIFS('Defensa'!$B$6:$B$10,$A50,'Defensa'!$E$6:$E$10,"Diego")+COUNTIFS('Defensa'!$B$6:$B$10,$A50,'Defensa'!$E$6:$E$10,"Ambos")</f>
        <v/>
      </c>
    </row>
    <row r="51">
      <c r="A51" s="25" t="n">
        <v>46353</v>
      </c>
      <c r="B51" s="26">
        <f>A51</f>
        <v/>
      </c>
      <c r="C51" s="21">
        <f>IF(WEEKDAY(A51,2)&gt;5,4,2)</f>
        <v/>
      </c>
      <c r="D51" s="21">
        <f>SUMIFS('S1'!$I$6:$I$32,'S1'!$B$6:$B$32,$A51,'S1'!$E$6:$E$32,"Víctor")+SUMIFS('S1'!$I$6:$I$32,'S1'!$B$6:$B$32,$A51,'S1'!$E$6:$E$32,"Ambos")+SUMIFS('S2'!$I$6:$I$23,'S2'!$B$6:$B$23,$A51,'S2'!$E$6:$E$23,"Víctor")+SUMIFS('S2'!$I$6:$I$23,'S2'!$B$6:$B$23,$A51,'S2'!$E$6:$E$23,"Ambos")+SUMIFS('S3'!$I$6:$I$24,'S3'!$B$6:$B$24,$A51,'S3'!$E$6:$E$24,"Víctor")+SUMIFS('S3'!$I$6:$I$24,'S3'!$B$6:$B$24,$A51,'S3'!$E$6:$E$24,"Ambos")+SUMIFS('S4'!$I$6:$I$22,'S4'!$B$6:$B$22,$A51,'S4'!$E$6:$E$22,"Víctor")+SUMIFS('S4'!$I$6:$I$22,'S4'!$B$6:$B$22,$A51,'S4'!$E$6:$E$22,"Ambos")+SUMIFS('S5'!$I$6:$I$20,'S5'!$B$6:$B$20,$A51,'S5'!$E$6:$E$20,"Víctor")+SUMIFS('S5'!$I$6:$I$20,'S5'!$B$6:$B$20,$A51,'S5'!$E$6:$E$20,"Ambos")+SUMIFS('S6'!$I$6:$I$17,'S6'!$B$6:$B$17,$A51,'S6'!$E$6:$E$17,"Víctor")+SUMIFS('S6'!$I$6:$I$17,'S6'!$B$6:$B$17,$A51,'S6'!$E$6:$E$17,"Ambos")+SUMIFS('S7'!$I$6:$I$19,'S7'!$B$6:$B$19,$A51,'S7'!$E$6:$E$19,"Víctor")+SUMIFS('S7'!$I$6:$I$19,'S7'!$B$6:$B$19,$A51,'S7'!$E$6:$E$19,"Ambos")+SUMIFS('S8'!$I$6:$I$23,'S8'!$B$6:$B$23,$A51,'S8'!$E$6:$E$23,"Víctor")+SUMIFS('S8'!$I$6:$I$23,'S8'!$B$6:$B$23,$A51,'S8'!$E$6:$E$23,"Ambos")+SUMIFS('S9'!$I$6:$I$15,'S9'!$B$6:$B$15,$A51,'S9'!$E$6:$E$15,"Víctor")+SUMIFS('S9'!$I$6:$I$15,'S9'!$B$6:$B$15,$A51,'S9'!$E$6:$E$15,"Ambos")+SUMIFS('S10'!$I$6:$I$13,'S10'!$B$6:$B$13,$A51,'S10'!$E$6:$E$13,"Víctor")+SUMIFS('S10'!$I$6:$I$13,'S10'!$B$6:$B$13,$A51,'S10'!$E$6:$E$13,"Ambos")+SUMIFS('Holgura'!$I$6:$I$11,'Holgura'!$B$6:$B$11,$A51,'Holgura'!$E$6:$E$11,"Víctor")+SUMIFS('Holgura'!$I$6:$I$11,'Holgura'!$B$6:$B$11,$A51,'Holgura'!$E$6:$E$11,"Ambos")+SUMIFS('Entrega'!$I$6:$I$9,'Entrega'!$B$6:$B$9,$A51,'Entrega'!$E$6:$E$9,"Víctor")+SUMIFS('Entrega'!$I$6:$I$9,'Entrega'!$B$6:$B$9,$A51,'Entrega'!$E$6:$E$9,"Ambos")+SUMIFS('Defensa'!$I$6:$I$10,'Defensa'!$B$6:$B$10,$A51,'Defensa'!$E$6:$E$10,"Víctor")+SUMIFS('Defensa'!$I$6:$I$10,'Defensa'!$B$6:$B$10,$A51,'Defensa'!$E$6:$E$10,"Ambos")</f>
        <v/>
      </c>
      <c r="E51" s="21">
        <f>SUMIFS('S1'!$I$6:$I$32,'S1'!$B$6:$B$32,$A51,'S1'!$E$6:$E$32,"Diego")+SUMIFS('S1'!$I$6:$I$32,'S1'!$B$6:$B$32,$A51,'S1'!$E$6:$E$32,"Ambos")+SUMIFS('S2'!$I$6:$I$23,'S2'!$B$6:$B$23,$A51,'S2'!$E$6:$E$23,"Diego")+SUMIFS('S2'!$I$6:$I$23,'S2'!$B$6:$B$23,$A51,'S2'!$E$6:$E$23,"Ambos")+SUMIFS('S3'!$I$6:$I$24,'S3'!$B$6:$B$24,$A51,'S3'!$E$6:$E$24,"Diego")+SUMIFS('S3'!$I$6:$I$24,'S3'!$B$6:$B$24,$A51,'S3'!$E$6:$E$24,"Ambos")+SUMIFS('S4'!$I$6:$I$22,'S4'!$B$6:$B$22,$A51,'S4'!$E$6:$E$22,"Diego")+SUMIFS('S4'!$I$6:$I$22,'S4'!$B$6:$B$22,$A51,'S4'!$E$6:$E$22,"Ambos")+SUMIFS('S5'!$I$6:$I$20,'S5'!$B$6:$B$20,$A51,'S5'!$E$6:$E$20,"Diego")+SUMIFS('S5'!$I$6:$I$20,'S5'!$B$6:$B$20,$A51,'S5'!$E$6:$E$20,"Ambos")+SUMIFS('S6'!$I$6:$I$17,'S6'!$B$6:$B$17,$A51,'S6'!$E$6:$E$17,"Diego")+SUMIFS('S6'!$I$6:$I$17,'S6'!$B$6:$B$17,$A51,'S6'!$E$6:$E$17,"Ambos")+SUMIFS('S7'!$I$6:$I$19,'S7'!$B$6:$B$19,$A51,'S7'!$E$6:$E$19,"Diego")+SUMIFS('S7'!$I$6:$I$19,'S7'!$B$6:$B$19,$A51,'S7'!$E$6:$E$19,"Ambos")+SUMIFS('S8'!$I$6:$I$23,'S8'!$B$6:$B$23,$A51,'S8'!$E$6:$E$23,"Diego")+SUMIFS('S8'!$I$6:$I$23,'S8'!$B$6:$B$23,$A51,'S8'!$E$6:$E$23,"Ambos")+SUMIFS('S9'!$I$6:$I$15,'S9'!$B$6:$B$15,$A51,'S9'!$E$6:$E$15,"Diego")+SUMIFS('S9'!$I$6:$I$15,'S9'!$B$6:$B$15,$A51,'S9'!$E$6:$E$15,"Ambos")+SUMIFS('S10'!$I$6:$I$13,'S10'!$B$6:$B$13,$A51,'S10'!$E$6:$E$13,"Diego")+SUMIFS('S10'!$I$6:$I$13,'S10'!$B$6:$B$13,$A51,'S10'!$E$6:$E$13,"Ambos")+SUMIFS('Holgura'!$I$6:$I$11,'Holgura'!$B$6:$B$11,$A51,'Holgura'!$E$6:$E$11,"Diego")+SUMIFS('Holgura'!$I$6:$I$11,'Holgura'!$B$6:$B$11,$A51,'Holgura'!$E$6:$E$11,"Ambos")+SUMIFS('Entrega'!$I$6:$I$9,'Entrega'!$B$6:$B$9,$A51,'Entrega'!$E$6:$E$9,"Diego")+SUMIFS('Entrega'!$I$6:$I$9,'Entrega'!$B$6:$B$9,$A51,'Entrega'!$E$6:$E$9,"Ambos")+SUMIFS('Defensa'!$I$6:$I$10,'Defensa'!$B$6:$B$10,$A51,'Defensa'!$E$6:$E$10,"Diego")+SUMIFS('Defensa'!$I$6:$I$10,'Defensa'!$B$6:$B$10,$A51,'Defensa'!$E$6:$E$10,"Ambos")</f>
        <v/>
      </c>
      <c r="F51" s="21">
        <f>COUNTIFS('S1'!$B$6:$B$32,$A51,'S1'!$E$6:$E$32,"Víctor")+COUNTIFS('S1'!$B$6:$B$32,$A51,'S1'!$E$6:$E$32,"Ambos")+COUNTIFS('S2'!$B$6:$B$23,$A51,'S2'!$E$6:$E$23,"Víctor")+COUNTIFS('S2'!$B$6:$B$23,$A51,'S2'!$E$6:$E$23,"Ambos")+COUNTIFS('S3'!$B$6:$B$24,$A51,'S3'!$E$6:$E$24,"Víctor")+COUNTIFS('S3'!$B$6:$B$24,$A51,'S3'!$E$6:$E$24,"Ambos")+COUNTIFS('S4'!$B$6:$B$22,$A51,'S4'!$E$6:$E$22,"Víctor")+COUNTIFS('S4'!$B$6:$B$22,$A51,'S4'!$E$6:$E$22,"Ambos")+COUNTIFS('S5'!$B$6:$B$20,$A51,'S5'!$E$6:$E$20,"Víctor")+COUNTIFS('S5'!$B$6:$B$20,$A51,'S5'!$E$6:$E$20,"Ambos")+COUNTIFS('S6'!$B$6:$B$17,$A51,'S6'!$E$6:$E$17,"Víctor")+COUNTIFS('S6'!$B$6:$B$17,$A51,'S6'!$E$6:$E$17,"Ambos")+COUNTIFS('S7'!$B$6:$B$19,$A51,'S7'!$E$6:$E$19,"Víctor")+COUNTIFS('S7'!$B$6:$B$19,$A51,'S7'!$E$6:$E$19,"Ambos")+COUNTIFS('S8'!$B$6:$B$23,$A51,'S8'!$E$6:$E$23,"Víctor")+COUNTIFS('S8'!$B$6:$B$23,$A51,'S8'!$E$6:$E$23,"Ambos")+COUNTIFS('S9'!$B$6:$B$15,$A51,'S9'!$E$6:$E$15,"Víctor")+COUNTIFS('S9'!$B$6:$B$15,$A51,'S9'!$E$6:$E$15,"Ambos")+COUNTIFS('S10'!$B$6:$B$13,$A51,'S10'!$E$6:$E$13,"Víctor")+COUNTIFS('S10'!$B$6:$B$13,$A51,'S10'!$E$6:$E$13,"Ambos")+COUNTIFS('Holgura'!$B$6:$B$11,$A51,'Holgura'!$E$6:$E$11,"Víctor")+COUNTIFS('Holgura'!$B$6:$B$11,$A51,'Holgura'!$E$6:$E$11,"Ambos")+COUNTIFS('Entrega'!$B$6:$B$9,$A51,'Entrega'!$E$6:$E$9,"Víctor")+COUNTIFS('Entrega'!$B$6:$B$9,$A51,'Entrega'!$E$6:$E$9,"Ambos")+COUNTIFS('Defensa'!$B$6:$B$10,$A51,'Defensa'!$E$6:$E$10,"Víctor")+COUNTIFS('Defensa'!$B$6:$B$10,$A51,'Defensa'!$E$6:$E$10,"Ambos")</f>
        <v/>
      </c>
      <c r="G51" s="21">
        <f>COUNTIFS('S1'!$B$6:$B$32,$A51,'S1'!$E$6:$E$32,"Diego")+COUNTIFS('S1'!$B$6:$B$32,$A51,'S1'!$E$6:$E$32,"Ambos")+COUNTIFS('S2'!$B$6:$B$23,$A51,'S2'!$E$6:$E$23,"Diego")+COUNTIFS('S2'!$B$6:$B$23,$A51,'S2'!$E$6:$E$23,"Ambos")+COUNTIFS('S3'!$B$6:$B$24,$A51,'S3'!$E$6:$E$24,"Diego")+COUNTIFS('S3'!$B$6:$B$24,$A51,'S3'!$E$6:$E$24,"Ambos")+COUNTIFS('S4'!$B$6:$B$22,$A51,'S4'!$E$6:$E$22,"Diego")+COUNTIFS('S4'!$B$6:$B$22,$A51,'S4'!$E$6:$E$22,"Ambos")+COUNTIFS('S5'!$B$6:$B$20,$A51,'S5'!$E$6:$E$20,"Diego")+COUNTIFS('S5'!$B$6:$B$20,$A51,'S5'!$E$6:$E$20,"Ambos")+COUNTIFS('S6'!$B$6:$B$17,$A51,'S6'!$E$6:$E$17,"Diego")+COUNTIFS('S6'!$B$6:$B$17,$A51,'S6'!$E$6:$E$17,"Ambos")+COUNTIFS('S7'!$B$6:$B$19,$A51,'S7'!$E$6:$E$19,"Diego")+COUNTIFS('S7'!$B$6:$B$19,$A51,'S7'!$E$6:$E$19,"Ambos")+COUNTIFS('S8'!$B$6:$B$23,$A51,'S8'!$E$6:$E$23,"Diego")+COUNTIFS('S8'!$B$6:$B$23,$A51,'S8'!$E$6:$E$23,"Ambos")+COUNTIFS('S9'!$B$6:$B$15,$A51,'S9'!$E$6:$E$15,"Diego")+COUNTIFS('S9'!$B$6:$B$15,$A51,'S9'!$E$6:$E$15,"Ambos")+COUNTIFS('S10'!$B$6:$B$13,$A51,'S10'!$E$6:$E$13,"Diego")+COUNTIFS('S10'!$B$6:$B$13,$A51,'S10'!$E$6:$E$13,"Ambos")+COUNTIFS('Holgura'!$B$6:$B$11,$A51,'Holgura'!$E$6:$E$11,"Diego")+COUNTIFS('Holgura'!$B$6:$B$11,$A51,'Holgura'!$E$6:$E$11,"Ambos")+COUNTIFS('Entrega'!$B$6:$B$9,$A51,'Entrega'!$E$6:$E$9,"Diego")+COUNTIFS('Entrega'!$B$6:$B$9,$A51,'Entrega'!$E$6:$E$9,"Ambos")+COUNTIFS('Defensa'!$B$6:$B$10,$A51,'Defensa'!$E$6:$E$10,"Diego")+COUNTIFS('Defensa'!$B$6:$B$10,$A51,'Defensa'!$E$6:$E$10,"Ambos")</f>
        <v/>
      </c>
    </row>
    <row r="52">
      <c r="A52" s="25" t="n">
        <v>46354</v>
      </c>
      <c r="B52" s="26">
        <f>A52</f>
        <v/>
      </c>
      <c r="C52" s="21">
        <f>IF(WEEKDAY(A52,2)&gt;5,4,2)</f>
        <v/>
      </c>
      <c r="D52" s="21">
        <f>SUMIFS('S1'!$I$6:$I$32,'S1'!$B$6:$B$32,$A52,'S1'!$E$6:$E$32,"Víctor")+SUMIFS('S1'!$I$6:$I$32,'S1'!$B$6:$B$32,$A52,'S1'!$E$6:$E$32,"Ambos")+SUMIFS('S2'!$I$6:$I$23,'S2'!$B$6:$B$23,$A52,'S2'!$E$6:$E$23,"Víctor")+SUMIFS('S2'!$I$6:$I$23,'S2'!$B$6:$B$23,$A52,'S2'!$E$6:$E$23,"Ambos")+SUMIFS('S3'!$I$6:$I$24,'S3'!$B$6:$B$24,$A52,'S3'!$E$6:$E$24,"Víctor")+SUMIFS('S3'!$I$6:$I$24,'S3'!$B$6:$B$24,$A52,'S3'!$E$6:$E$24,"Ambos")+SUMIFS('S4'!$I$6:$I$22,'S4'!$B$6:$B$22,$A52,'S4'!$E$6:$E$22,"Víctor")+SUMIFS('S4'!$I$6:$I$22,'S4'!$B$6:$B$22,$A52,'S4'!$E$6:$E$22,"Ambos")+SUMIFS('S5'!$I$6:$I$20,'S5'!$B$6:$B$20,$A52,'S5'!$E$6:$E$20,"Víctor")+SUMIFS('S5'!$I$6:$I$20,'S5'!$B$6:$B$20,$A52,'S5'!$E$6:$E$20,"Ambos")+SUMIFS('S6'!$I$6:$I$17,'S6'!$B$6:$B$17,$A52,'S6'!$E$6:$E$17,"Víctor")+SUMIFS('S6'!$I$6:$I$17,'S6'!$B$6:$B$17,$A52,'S6'!$E$6:$E$17,"Ambos")+SUMIFS('S7'!$I$6:$I$19,'S7'!$B$6:$B$19,$A52,'S7'!$E$6:$E$19,"Víctor")+SUMIFS('S7'!$I$6:$I$19,'S7'!$B$6:$B$19,$A52,'S7'!$E$6:$E$19,"Ambos")+SUMIFS('S8'!$I$6:$I$23,'S8'!$B$6:$B$23,$A52,'S8'!$E$6:$E$23,"Víctor")+SUMIFS('S8'!$I$6:$I$23,'S8'!$B$6:$B$23,$A52,'S8'!$E$6:$E$23,"Ambos")+SUMIFS('S9'!$I$6:$I$15,'S9'!$B$6:$B$15,$A52,'S9'!$E$6:$E$15,"Víctor")+SUMIFS('S9'!$I$6:$I$15,'S9'!$B$6:$B$15,$A52,'S9'!$E$6:$E$15,"Ambos")+SUMIFS('S10'!$I$6:$I$13,'S10'!$B$6:$B$13,$A52,'S10'!$E$6:$E$13,"Víctor")+SUMIFS('S10'!$I$6:$I$13,'S10'!$B$6:$B$13,$A52,'S10'!$E$6:$E$13,"Ambos")+SUMIFS('Holgura'!$I$6:$I$11,'Holgura'!$B$6:$B$11,$A52,'Holgura'!$E$6:$E$11,"Víctor")+SUMIFS('Holgura'!$I$6:$I$11,'Holgura'!$B$6:$B$11,$A52,'Holgura'!$E$6:$E$11,"Ambos")+SUMIFS('Entrega'!$I$6:$I$9,'Entrega'!$B$6:$B$9,$A52,'Entrega'!$E$6:$E$9,"Víctor")+SUMIFS('Entrega'!$I$6:$I$9,'Entrega'!$B$6:$B$9,$A52,'Entrega'!$E$6:$E$9,"Ambos")+SUMIFS('Defensa'!$I$6:$I$10,'Defensa'!$B$6:$B$10,$A52,'Defensa'!$E$6:$E$10,"Víctor")+SUMIFS('Defensa'!$I$6:$I$10,'Defensa'!$B$6:$B$10,$A52,'Defensa'!$E$6:$E$10,"Ambos")</f>
        <v/>
      </c>
      <c r="E52" s="21">
        <f>SUMIFS('S1'!$I$6:$I$32,'S1'!$B$6:$B$32,$A52,'S1'!$E$6:$E$32,"Diego")+SUMIFS('S1'!$I$6:$I$32,'S1'!$B$6:$B$32,$A52,'S1'!$E$6:$E$32,"Ambos")+SUMIFS('S2'!$I$6:$I$23,'S2'!$B$6:$B$23,$A52,'S2'!$E$6:$E$23,"Diego")+SUMIFS('S2'!$I$6:$I$23,'S2'!$B$6:$B$23,$A52,'S2'!$E$6:$E$23,"Ambos")+SUMIFS('S3'!$I$6:$I$24,'S3'!$B$6:$B$24,$A52,'S3'!$E$6:$E$24,"Diego")+SUMIFS('S3'!$I$6:$I$24,'S3'!$B$6:$B$24,$A52,'S3'!$E$6:$E$24,"Ambos")+SUMIFS('S4'!$I$6:$I$22,'S4'!$B$6:$B$22,$A52,'S4'!$E$6:$E$22,"Diego")+SUMIFS('S4'!$I$6:$I$22,'S4'!$B$6:$B$22,$A52,'S4'!$E$6:$E$22,"Ambos")+SUMIFS('S5'!$I$6:$I$20,'S5'!$B$6:$B$20,$A52,'S5'!$E$6:$E$20,"Diego")+SUMIFS('S5'!$I$6:$I$20,'S5'!$B$6:$B$20,$A52,'S5'!$E$6:$E$20,"Ambos")+SUMIFS('S6'!$I$6:$I$17,'S6'!$B$6:$B$17,$A52,'S6'!$E$6:$E$17,"Diego")+SUMIFS('S6'!$I$6:$I$17,'S6'!$B$6:$B$17,$A52,'S6'!$E$6:$E$17,"Ambos")+SUMIFS('S7'!$I$6:$I$19,'S7'!$B$6:$B$19,$A52,'S7'!$E$6:$E$19,"Diego")+SUMIFS('S7'!$I$6:$I$19,'S7'!$B$6:$B$19,$A52,'S7'!$E$6:$E$19,"Ambos")+SUMIFS('S8'!$I$6:$I$23,'S8'!$B$6:$B$23,$A52,'S8'!$E$6:$E$23,"Diego")+SUMIFS('S8'!$I$6:$I$23,'S8'!$B$6:$B$23,$A52,'S8'!$E$6:$E$23,"Ambos")+SUMIFS('S9'!$I$6:$I$15,'S9'!$B$6:$B$15,$A52,'S9'!$E$6:$E$15,"Diego")+SUMIFS('S9'!$I$6:$I$15,'S9'!$B$6:$B$15,$A52,'S9'!$E$6:$E$15,"Ambos")+SUMIFS('S10'!$I$6:$I$13,'S10'!$B$6:$B$13,$A52,'S10'!$E$6:$E$13,"Diego")+SUMIFS('S10'!$I$6:$I$13,'S10'!$B$6:$B$13,$A52,'S10'!$E$6:$E$13,"Ambos")+SUMIFS('Holgura'!$I$6:$I$11,'Holgura'!$B$6:$B$11,$A52,'Holgura'!$E$6:$E$11,"Diego")+SUMIFS('Holgura'!$I$6:$I$11,'Holgura'!$B$6:$B$11,$A52,'Holgura'!$E$6:$E$11,"Ambos")+SUMIFS('Entrega'!$I$6:$I$9,'Entrega'!$B$6:$B$9,$A52,'Entrega'!$E$6:$E$9,"Diego")+SUMIFS('Entrega'!$I$6:$I$9,'Entrega'!$B$6:$B$9,$A52,'Entrega'!$E$6:$E$9,"Ambos")+SUMIFS('Defensa'!$I$6:$I$10,'Defensa'!$B$6:$B$10,$A52,'Defensa'!$E$6:$E$10,"Diego")+SUMIFS('Defensa'!$I$6:$I$10,'Defensa'!$B$6:$B$10,$A52,'Defensa'!$E$6:$E$10,"Ambos")</f>
        <v/>
      </c>
      <c r="F52" s="21">
        <f>COUNTIFS('S1'!$B$6:$B$32,$A52,'S1'!$E$6:$E$32,"Víctor")+COUNTIFS('S1'!$B$6:$B$32,$A52,'S1'!$E$6:$E$32,"Ambos")+COUNTIFS('S2'!$B$6:$B$23,$A52,'S2'!$E$6:$E$23,"Víctor")+COUNTIFS('S2'!$B$6:$B$23,$A52,'S2'!$E$6:$E$23,"Ambos")+COUNTIFS('S3'!$B$6:$B$24,$A52,'S3'!$E$6:$E$24,"Víctor")+COUNTIFS('S3'!$B$6:$B$24,$A52,'S3'!$E$6:$E$24,"Ambos")+COUNTIFS('S4'!$B$6:$B$22,$A52,'S4'!$E$6:$E$22,"Víctor")+COUNTIFS('S4'!$B$6:$B$22,$A52,'S4'!$E$6:$E$22,"Ambos")+COUNTIFS('S5'!$B$6:$B$20,$A52,'S5'!$E$6:$E$20,"Víctor")+COUNTIFS('S5'!$B$6:$B$20,$A52,'S5'!$E$6:$E$20,"Ambos")+COUNTIFS('S6'!$B$6:$B$17,$A52,'S6'!$E$6:$E$17,"Víctor")+COUNTIFS('S6'!$B$6:$B$17,$A52,'S6'!$E$6:$E$17,"Ambos")+COUNTIFS('S7'!$B$6:$B$19,$A52,'S7'!$E$6:$E$19,"Víctor")+COUNTIFS('S7'!$B$6:$B$19,$A52,'S7'!$E$6:$E$19,"Ambos")+COUNTIFS('S8'!$B$6:$B$23,$A52,'S8'!$E$6:$E$23,"Víctor")+COUNTIFS('S8'!$B$6:$B$23,$A52,'S8'!$E$6:$E$23,"Ambos")+COUNTIFS('S9'!$B$6:$B$15,$A52,'S9'!$E$6:$E$15,"Víctor")+COUNTIFS('S9'!$B$6:$B$15,$A52,'S9'!$E$6:$E$15,"Ambos")+COUNTIFS('S10'!$B$6:$B$13,$A52,'S10'!$E$6:$E$13,"Víctor")+COUNTIFS('S10'!$B$6:$B$13,$A52,'S10'!$E$6:$E$13,"Ambos")+COUNTIFS('Holgura'!$B$6:$B$11,$A52,'Holgura'!$E$6:$E$11,"Víctor")+COUNTIFS('Holgura'!$B$6:$B$11,$A52,'Holgura'!$E$6:$E$11,"Ambos")+COUNTIFS('Entrega'!$B$6:$B$9,$A52,'Entrega'!$E$6:$E$9,"Víctor")+COUNTIFS('Entrega'!$B$6:$B$9,$A52,'Entrega'!$E$6:$E$9,"Ambos")+COUNTIFS('Defensa'!$B$6:$B$10,$A52,'Defensa'!$E$6:$E$10,"Víctor")+COUNTIFS('Defensa'!$B$6:$B$10,$A52,'Defensa'!$E$6:$E$10,"Ambos")</f>
        <v/>
      </c>
      <c r="G52" s="21">
        <f>COUNTIFS('S1'!$B$6:$B$32,$A52,'S1'!$E$6:$E$32,"Diego")+COUNTIFS('S1'!$B$6:$B$32,$A52,'S1'!$E$6:$E$32,"Ambos")+COUNTIFS('S2'!$B$6:$B$23,$A52,'S2'!$E$6:$E$23,"Diego")+COUNTIFS('S2'!$B$6:$B$23,$A52,'S2'!$E$6:$E$23,"Ambos")+COUNTIFS('S3'!$B$6:$B$24,$A52,'S3'!$E$6:$E$24,"Diego")+COUNTIFS('S3'!$B$6:$B$24,$A52,'S3'!$E$6:$E$24,"Ambos")+COUNTIFS('S4'!$B$6:$B$22,$A52,'S4'!$E$6:$E$22,"Diego")+COUNTIFS('S4'!$B$6:$B$22,$A52,'S4'!$E$6:$E$22,"Ambos")+COUNTIFS('S5'!$B$6:$B$20,$A52,'S5'!$E$6:$E$20,"Diego")+COUNTIFS('S5'!$B$6:$B$20,$A52,'S5'!$E$6:$E$20,"Ambos")+COUNTIFS('S6'!$B$6:$B$17,$A52,'S6'!$E$6:$E$17,"Diego")+COUNTIFS('S6'!$B$6:$B$17,$A52,'S6'!$E$6:$E$17,"Ambos")+COUNTIFS('S7'!$B$6:$B$19,$A52,'S7'!$E$6:$E$19,"Diego")+COUNTIFS('S7'!$B$6:$B$19,$A52,'S7'!$E$6:$E$19,"Ambos")+COUNTIFS('S8'!$B$6:$B$23,$A52,'S8'!$E$6:$E$23,"Diego")+COUNTIFS('S8'!$B$6:$B$23,$A52,'S8'!$E$6:$E$23,"Ambos")+COUNTIFS('S9'!$B$6:$B$15,$A52,'S9'!$E$6:$E$15,"Diego")+COUNTIFS('S9'!$B$6:$B$15,$A52,'S9'!$E$6:$E$15,"Ambos")+COUNTIFS('S10'!$B$6:$B$13,$A52,'S10'!$E$6:$E$13,"Diego")+COUNTIFS('S10'!$B$6:$B$13,$A52,'S10'!$E$6:$E$13,"Ambos")+COUNTIFS('Holgura'!$B$6:$B$11,$A52,'Holgura'!$E$6:$E$11,"Diego")+COUNTIFS('Holgura'!$B$6:$B$11,$A52,'Holgura'!$E$6:$E$11,"Ambos")+COUNTIFS('Entrega'!$B$6:$B$9,$A52,'Entrega'!$E$6:$E$9,"Diego")+COUNTIFS('Entrega'!$B$6:$B$9,$A52,'Entrega'!$E$6:$E$9,"Ambos")+COUNTIFS('Defensa'!$B$6:$B$10,$A52,'Defensa'!$E$6:$E$10,"Diego")+COUNTIFS('Defensa'!$B$6:$B$10,$A52,'Defensa'!$E$6:$E$10,"Ambos")</f>
        <v/>
      </c>
    </row>
    <row r="53">
      <c r="A53" s="25" t="n">
        <v>46355</v>
      </c>
      <c r="B53" s="26">
        <f>A53</f>
        <v/>
      </c>
      <c r="C53" s="21">
        <f>IF(WEEKDAY(A53,2)&gt;5,4,2)</f>
        <v/>
      </c>
      <c r="D53" s="21">
        <f>SUMIFS('S1'!$I$6:$I$32,'S1'!$B$6:$B$32,$A53,'S1'!$E$6:$E$32,"Víctor")+SUMIFS('S1'!$I$6:$I$32,'S1'!$B$6:$B$32,$A53,'S1'!$E$6:$E$32,"Ambos")+SUMIFS('S2'!$I$6:$I$23,'S2'!$B$6:$B$23,$A53,'S2'!$E$6:$E$23,"Víctor")+SUMIFS('S2'!$I$6:$I$23,'S2'!$B$6:$B$23,$A53,'S2'!$E$6:$E$23,"Ambos")+SUMIFS('S3'!$I$6:$I$24,'S3'!$B$6:$B$24,$A53,'S3'!$E$6:$E$24,"Víctor")+SUMIFS('S3'!$I$6:$I$24,'S3'!$B$6:$B$24,$A53,'S3'!$E$6:$E$24,"Ambos")+SUMIFS('S4'!$I$6:$I$22,'S4'!$B$6:$B$22,$A53,'S4'!$E$6:$E$22,"Víctor")+SUMIFS('S4'!$I$6:$I$22,'S4'!$B$6:$B$22,$A53,'S4'!$E$6:$E$22,"Ambos")+SUMIFS('S5'!$I$6:$I$20,'S5'!$B$6:$B$20,$A53,'S5'!$E$6:$E$20,"Víctor")+SUMIFS('S5'!$I$6:$I$20,'S5'!$B$6:$B$20,$A53,'S5'!$E$6:$E$20,"Ambos")+SUMIFS('S6'!$I$6:$I$17,'S6'!$B$6:$B$17,$A53,'S6'!$E$6:$E$17,"Víctor")+SUMIFS('S6'!$I$6:$I$17,'S6'!$B$6:$B$17,$A53,'S6'!$E$6:$E$17,"Ambos")+SUMIFS('S7'!$I$6:$I$19,'S7'!$B$6:$B$19,$A53,'S7'!$E$6:$E$19,"Víctor")+SUMIFS('S7'!$I$6:$I$19,'S7'!$B$6:$B$19,$A53,'S7'!$E$6:$E$19,"Ambos")+SUMIFS('S8'!$I$6:$I$23,'S8'!$B$6:$B$23,$A53,'S8'!$E$6:$E$23,"Víctor")+SUMIFS('S8'!$I$6:$I$23,'S8'!$B$6:$B$23,$A53,'S8'!$E$6:$E$23,"Ambos")+SUMIFS('S9'!$I$6:$I$15,'S9'!$B$6:$B$15,$A53,'S9'!$E$6:$E$15,"Víctor")+SUMIFS('S9'!$I$6:$I$15,'S9'!$B$6:$B$15,$A53,'S9'!$E$6:$E$15,"Ambos")+SUMIFS('S10'!$I$6:$I$13,'S10'!$B$6:$B$13,$A53,'S10'!$E$6:$E$13,"Víctor")+SUMIFS('S10'!$I$6:$I$13,'S10'!$B$6:$B$13,$A53,'S10'!$E$6:$E$13,"Ambos")+SUMIFS('Holgura'!$I$6:$I$11,'Holgura'!$B$6:$B$11,$A53,'Holgura'!$E$6:$E$11,"Víctor")+SUMIFS('Holgura'!$I$6:$I$11,'Holgura'!$B$6:$B$11,$A53,'Holgura'!$E$6:$E$11,"Ambos")+SUMIFS('Entrega'!$I$6:$I$9,'Entrega'!$B$6:$B$9,$A53,'Entrega'!$E$6:$E$9,"Víctor")+SUMIFS('Entrega'!$I$6:$I$9,'Entrega'!$B$6:$B$9,$A53,'Entrega'!$E$6:$E$9,"Ambos")+SUMIFS('Defensa'!$I$6:$I$10,'Defensa'!$B$6:$B$10,$A53,'Defensa'!$E$6:$E$10,"Víctor")+SUMIFS('Defensa'!$I$6:$I$10,'Defensa'!$B$6:$B$10,$A53,'Defensa'!$E$6:$E$10,"Ambos")</f>
        <v/>
      </c>
      <c r="E53" s="21">
        <f>SUMIFS('S1'!$I$6:$I$32,'S1'!$B$6:$B$32,$A53,'S1'!$E$6:$E$32,"Diego")+SUMIFS('S1'!$I$6:$I$32,'S1'!$B$6:$B$32,$A53,'S1'!$E$6:$E$32,"Ambos")+SUMIFS('S2'!$I$6:$I$23,'S2'!$B$6:$B$23,$A53,'S2'!$E$6:$E$23,"Diego")+SUMIFS('S2'!$I$6:$I$23,'S2'!$B$6:$B$23,$A53,'S2'!$E$6:$E$23,"Ambos")+SUMIFS('S3'!$I$6:$I$24,'S3'!$B$6:$B$24,$A53,'S3'!$E$6:$E$24,"Diego")+SUMIFS('S3'!$I$6:$I$24,'S3'!$B$6:$B$24,$A53,'S3'!$E$6:$E$24,"Ambos")+SUMIFS('S4'!$I$6:$I$22,'S4'!$B$6:$B$22,$A53,'S4'!$E$6:$E$22,"Diego")+SUMIFS('S4'!$I$6:$I$22,'S4'!$B$6:$B$22,$A53,'S4'!$E$6:$E$22,"Ambos")+SUMIFS('S5'!$I$6:$I$20,'S5'!$B$6:$B$20,$A53,'S5'!$E$6:$E$20,"Diego")+SUMIFS('S5'!$I$6:$I$20,'S5'!$B$6:$B$20,$A53,'S5'!$E$6:$E$20,"Ambos")+SUMIFS('S6'!$I$6:$I$17,'S6'!$B$6:$B$17,$A53,'S6'!$E$6:$E$17,"Diego")+SUMIFS('S6'!$I$6:$I$17,'S6'!$B$6:$B$17,$A53,'S6'!$E$6:$E$17,"Ambos")+SUMIFS('S7'!$I$6:$I$19,'S7'!$B$6:$B$19,$A53,'S7'!$E$6:$E$19,"Diego")+SUMIFS('S7'!$I$6:$I$19,'S7'!$B$6:$B$19,$A53,'S7'!$E$6:$E$19,"Ambos")+SUMIFS('S8'!$I$6:$I$23,'S8'!$B$6:$B$23,$A53,'S8'!$E$6:$E$23,"Diego")+SUMIFS('S8'!$I$6:$I$23,'S8'!$B$6:$B$23,$A53,'S8'!$E$6:$E$23,"Ambos")+SUMIFS('S9'!$I$6:$I$15,'S9'!$B$6:$B$15,$A53,'S9'!$E$6:$E$15,"Diego")+SUMIFS('S9'!$I$6:$I$15,'S9'!$B$6:$B$15,$A53,'S9'!$E$6:$E$15,"Ambos")+SUMIFS('S10'!$I$6:$I$13,'S10'!$B$6:$B$13,$A53,'S10'!$E$6:$E$13,"Diego")+SUMIFS('S10'!$I$6:$I$13,'S10'!$B$6:$B$13,$A53,'S10'!$E$6:$E$13,"Ambos")+SUMIFS('Holgura'!$I$6:$I$11,'Holgura'!$B$6:$B$11,$A53,'Holgura'!$E$6:$E$11,"Diego")+SUMIFS('Holgura'!$I$6:$I$11,'Holgura'!$B$6:$B$11,$A53,'Holgura'!$E$6:$E$11,"Ambos")+SUMIFS('Entrega'!$I$6:$I$9,'Entrega'!$B$6:$B$9,$A53,'Entrega'!$E$6:$E$9,"Diego")+SUMIFS('Entrega'!$I$6:$I$9,'Entrega'!$B$6:$B$9,$A53,'Entrega'!$E$6:$E$9,"Ambos")+SUMIFS('Defensa'!$I$6:$I$10,'Defensa'!$B$6:$B$10,$A53,'Defensa'!$E$6:$E$10,"Diego")+SUMIFS('Defensa'!$I$6:$I$10,'Defensa'!$B$6:$B$10,$A53,'Defensa'!$E$6:$E$10,"Ambos")</f>
        <v/>
      </c>
      <c r="F53" s="21">
        <f>COUNTIFS('S1'!$B$6:$B$32,$A53,'S1'!$E$6:$E$32,"Víctor")+COUNTIFS('S1'!$B$6:$B$32,$A53,'S1'!$E$6:$E$32,"Ambos")+COUNTIFS('S2'!$B$6:$B$23,$A53,'S2'!$E$6:$E$23,"Víctor")+COUNTIFS('S2'!$B$6:$B$23,$A53,'S2'!$E$6:$E$23,"Ambos")+COUNTIFS('S3'!$B$6:$B$24,$A53,'S3'!$E$6:$E$24,"Víctor")+COUNTIFS('S3'!$B$6:$B$24,$A53,'S3'!$E$6:$E$24,"Ambos")+COUNTIFS('S4'!$B$6:$B$22,$A53,'S4'!$E$6:$E$22,"Víctor")+COUNTIFS('S4'!$B$6:$B$22,$A53,'S4'!$E$6:$E$22,"Ambos")+COUNTIFS('S5'!$B$6:$B$20,$A53,'S5'!$E$6:$E$20,"Víctor")+COUNTIFS('S5'!$B$6:$B$20,$A53,'S5'!$E$6:$E$20,"Ambos")+COUNTIFS('S6'!$B$6:$B$17,$A53,'S6'!$E$6:$E$17,"Víctor")+COUNTIFS('S6'!$B$6:$B$17,$A53,'S6'!$E$6:$E$17,"Ambos")+COUNTIFS('S7'!$B$6:$B$19,$A53,'S7'!$E$6:$E$19,"Víctor")+COUNTIFS('S7'!$B$6:$B$19,$A53,'S7'!$E$6:$E$19,"Ambos")+COUNTIFS('S8'!$B$6:$B$23,$A53,'S8'!$E$6:$E$23,"Víctor")+COUNTIFS('S8'!$B$6:$B$23,$A53,'S8'!$E$6:$E$23,"Ambos")+COUNTIFS('S9'!$B$6:$B$15,$A53,'S9'!$E$6:$E$15,"Víctor")+COUNTIFS('S9'!$B$6:$B$15,$A53,'S9'!$E$6:$E$15,"Ambos")+COUNTIFS('S10'!$B$6:$B$13,$A53,'S10'!$E$6:$E$13,"Víctor")+COUNTIFS('S10'!$B$6:$B$13,$A53,'S10'!$E$6:$E$13,"Ambos")+COUNTIFS('Holgura'!$B$6:$B$11,$A53,'Holgura'!$E$6:$E$11,"Víctor")+COUNTIFS('Holgura'!$B$6:$B$11,$A53,'Holgura'!$E$6:$E$11,"Ambos")+COUNTIFS('Entrega'!$B$6:$B$9,$A53,'Entrega'!$E$6:$E$9,"Víctor")+COUNTIFS('Entrega'!$B$6:$B$9,$A53,'Entrega'!$E$6:$E$9,"Ambos")+COUNTIFS('Defensa'!$B$6:$B$10,$A53,'Defensa'!$E$6:$E$10,"Víctor")+COUNTIFS('Defensa'!$B$6:$B$10,$A53,'Defensa'!$E$6:$E$10,"Ambos")</f>
        <v/>
      </c>
      <c r="G53" s="21">
        <f>COUNTIFS('S1'!$B$6:$B$32,$A53,'S1'!$E$6:$E$32,"Diego")+COUNTIFS('S1'!$B$6:$B$32,$A53,'S1'!$E$6:$E$32,"Ambos")+COUNTIFS('S2'!$B$6:$B$23,$A53,'S2'!$E$6:$E$23,"Diego")+COUNTIFS('S2'!$B$6:$B$23,$A53,'S2'!$E$6:$E$23,"Ambos")+COUNTIFS('S3'!$B$6:$B$24,$A53,'S3'!$E$6:$E$24,"Diego")+COUNTIFS('S3'!$B$6:$B$24,$A53,'S3'!$E$6:$E$24,"Ambos")+COUNTIFS('S4'!$B$6:$B$22,$A53,'S4'!$E$6:$E$22,"Diego")+COUNTIFS('S4'!$B$6:$B$22,$A53,'S4'!$E$6:$E$22,"Ambos")+COUNTIFS('S5'!$B$6:$B$20,$A53,'S5'!$E$6:$E$20,"Diego")+COUNTIFS('S5'!$B$6:$B$20,$A53,'S5'!$E$6:$E$20,"Ambos")+COUNTIFS('S6'!$B$6:$B$17,$A53,'S6'!$E$6:$E$17,"Diego")+COUNTIFS('S6'!$B$6:$B$17,$A53,'S6'!$E$6:$E$17,"Ambos")+COUNTIFS('S7'!$B$6:$B$19,$A53,'S7'!$E$6:$E$19,"Diego")+COUNTIFS('S7'!$B$6:$B$19,$A53,'S7'!$E$6:$E$19,"Ambos")+COUNTIFS('S8'!$B$6:$B$23,$A53,'S8'!$E$6:$E$23,"Diego")+COUNTIFS('S8'!$B$6:$B$23,$A53,'S8'!$E$6:$E$23,"Ambos")+COUNTIFS('S9'!$B$6:$B$15,$A53,'S9'!$E$6:$E$15,"Diego")+COUNTIFS('S9'!$B$6:$B$15,$A53,'S9'!$E$6:$E$15,"Ambos")+COUNTIFS('S10'!$B$6:$B$13,$A53,'S10'!$E$6:$E$13,"Diego")+COUNTIFS('S10'!$B$6:$B$13,$A53,'S10'!$E$6:$E$13,"Ambos")+COUNTIFS('Holgura'!$B$6:$B$11,$A53,'Holgura'!$E$6:$E$11,"Diego")+COUNTIFS('Holgura'!$B$6:$B$11,$A53,'Holgura'!$E$6:$E$11,"Ambos")+COUNTIFS('Entrega'!$B$6:$B$9,$A53,'Entrega'!$E$6:$E$9,"Diego")+COUNTIFS('Entrega'!$B$6:$B$9,$A53,'Entrega'!$E$6:$E$9,"Ambos")+COUNTIFS('Defensa'!$B$6:$B$10,$A53,'Defensa'!$E$6:$E$10,"Diego")+COUNTIFS('Defensa'!$B$6:$B$10,$A53,'Defensa'!$E$6:$E$10,"Ambos")</f>
        <v/>
      </c>
    </row>
    <row r="54">
      <c r="A54" s="25" t="n">
        <v>46356</v>
      </c>
      <c r="B54" s="26">
        <f>A54</f>
        <v/>
      </c>
      <c r="C54" s="21">
        <f>IF(WEEKDAY(A54,2)&gt;5,4,2)</f>
        <v/>
      </c>
      <c r="D54" s="21">
        <f>SUMIFS('S1'!$I$6:$I$32,'S1'!$B$6:$B$32,$A54,'S1'!$E$6:$E$32,"Víctor")+SUMIFS('S1'!$I$6:$I$32,'S1'!$B$6:$B$32,$A54,'S1'!$E$6:$E$32,"Ambos")+SUMIFS('S2'!$I$6:$I$23,'S2'!$B$6:$B$23,$A54,'S2'!$E$6:$E$23,"Víctor")+SUMIFS('S2'!$I$6:$I$23,'S2'!$B$6:$B$23,$A54,'S2'!$E$6:$E$23,"Ambos")+SUMIFS('S3'!$I$6:$I$24,'S3'!$B$6:$B$24,$A54,'S3'!$E$6:$E$24,"Víctor")+SUMIFS('S3'!$I$6:$I$24,'S3'!$B$6:$B$24,$A54,'S3'!$E$6:$E$24,"Ambos")+SUMIFS('S4'!$I$6:$I$22,'S4'!$B$6:$B$22,$A54,'S4'!$E$6:$E$22,"Víctor")+SUMIFS('S4'!$I$6:$I$22,'S4'!$B$6:$B$22,$A54,'S4'!$E$6:$E$22,"Ambos")+SUMIFS('S5'!$I$6:$I$20,'S5'!$B$6:$B$20,$A54,'S5'!$E$6:$E$20,"Víctor")+SUMIFS('S5'!$I$6:$I$20,'S5'!$B$6:$B$20,$A54,'S5'!$E$6:$E$20,"Ambos")+SUMIFS('S6'!$I$6:$I$17,'S6'!$B$6:$B$17,$A54,'S6'!$E$6:$E$17,"Víctor")+SUMIFS('S6'!$I$6:$I$17,'S6'!$B$6:$B$17,$A54,'S6'!$E$6:$E$17,"Ambos")+SUMIFS('S7'!$I$6:$I$19,'S7'!$B$6:$B$19,$A54,'S7'!$E$6:$E$19,"Víctor")+SUMIFS('S7'!$I$6:$I$19,'S7'!$B$6:$B$19,$A54,'S7'!$E$6:$E$19,"Ambos")+SUMIFS('S8'!$I$6:$I$23,'S8'!$B$6:$B$23,$A54,'S8'!$E$6:$E$23,"Víctor")+SUMIFS('S8'!$I$6:$I$23,'S8'!$B$6:$B$23,$A54,'S8'!$E$6:$E$23,"Ambos")+SUMIFS('S9'!$I$6:$I$15,'S9'!$B$6:$B$15,$A54,'S9'!$E$6:$E$15,"Víctor")+SUMIFS('S9'!$I$6:$I$15,'S9'!$B$6:$B$15,$A54,'S9'!$E$6:$E$15,"Ambos")+SUMIFS('S10'!$I$6:$I$13,'S10'!$B$6:$B$13,$A54,'S10'!$E$6:$E$13,"Víctor")+SUMIFS('S10'!$I$6:$I$13,'S10'!$B$6:$B$13,$A54,'S10'!$E$6:$E$13,"Ambos")+SUMIFS('Holgura'!$I$6:$I$11,'Holgura'!$B$6:$B$11,$A54,'Holgura'!$E$6:$E$11,"Víctor")+SUMIFS('Holgura'!$I$6:$I$11,'Holgura'!$B$6:$B$11,$A54,'Holgura'!$E$6:$E$11,"Ambos")+SUMIFS('Entrega'!$I$6:$I$9,'Entrega'!$B$6:$B$9,$A54,'Entrega'!$E$6:$E$9,"Víctor")+SUMIFS('Entrega'!$I$6:$I$9,'Entrega'!$B$6:$B$9,$A54,'Entrega'!$E$6:$E$9,"Ambos")+SUMIFS('Defensa'!$I$6:$I$10,'Defensa'!$B$6:$B$10,$A54,'Defensa'!$E$6:$E$10,"Víctor")+SUMIFS('Defensa'!$I$6:$I$10,'Defensa'!$B$6:$B$10,$A54,'Defensa'!$E$6:$E$10,"Ambos")</f>
        <v/>
      </c>
      <c r="E54" s="21">
        <f>SUMIFS('S1'!$I$6:$I$32,'S1'!$B$6:$B$32,$A54,'S1'!$E$6:$E$32,"Diego")+SUMIFS('S1'!$I$6:$I$32,'S1'!$B$6:$B$32,$A54,'S1'!$E$6:$E$32,"Ambos")+SUMIFS('S2'!$I$6:$I$23,'S2'!$B$6:$B$23,$A54,'S2'!$E$6:$E$23,"Diego")+SUMIFS('S2'!$I$6:$I$23,'S2'!$B$6:$B$23,$A54,'S2'!$E$6:$E$23,"Ambos")+SUMIFS('S3'!$I$6:$I$24,'S3'!$B$6:$B$24,$A54,'S3'!$E$6:$E$24,"Diego")+SUMIFS('S3'!$I$6:$I$24,'S3'!$B$6:$B$24,$A54,'S3'!$E$6:$E$24,"Ambos")+SUMIFS('S4'!$I$6:$I$22,'S4'!$B$6:$B$22,$A54,'S4'!$E$6:$E$22,"Diego")+SUMIFS('S4'!$I$6:$I$22,'S4'!$B$6:$B$22,$A54,'S4'!$E$6:$E$22,"Ambos")+SUMIFS('S5'!$I$6:$I$20,'S5'!$B$6:$B$20,$A54,'S5'!$E$6:$E$20,"Diego")+SUMIFS('S5'!$I$6:$I$20,'S5'!$B$6:$B$20,$A54,'S5'!$E$6:$E$20,"Ambos")+SUMIFS('S6'!$I$6:$I$17,'S6'!$B$6:$B$17,$A54,'S6'!$E$6:$E$17,"Diego")+SUMIFS('S6'!$I$6:$I$17,'S6'!$B$6:$B$17,$A54,'S6'!$E$6:$E$17,"Ambos")+SUMIFS('S7'!$I$6:$I$19,'S7'!$B$6:$B$19,$A54,'S7'!$E$6:$E$19,"Diego")+SUMIFS('S7'!$I$6:$I$19,'S7'!$B$6:$B$19,$A54,'S7'!$E$6:$E$19,"Ambos")+SUMIFS('S8'!$I$6:$I$23,'S8'!$B$6:$B$23,$A54,'S8'!$E$6:$E$23,"Diego")+SUMIFS('S8'!$I$6:$I$23,'S8'!$B$6:$B$23,$A54,'S8'!$E$6:$E$23,"Ambos")+SUMIFS('S9'!$I$6:$I$15,'S9'!$B$6:$B$15,$A54,'S9'!$E$6:$E$15,"Diego")+SUMIFS('S9'!$I$6:$I$15,'S9'!$B$6:$B$15,$A54,'S9'!$E$6:$E$15,"Ambos")+SUMIFS('S10'!$I$6:$I$13,'S10'!$B$6:$B$13,$A54,'S10'!$E$6:$E$13,"Diego")+SUMIFS('S10'!$I$6:$I$13,'S10'!$B$6:$B$13,$A54,'S10'!$E$6:$E$13,"Ambos")+SUMIFS('Holgura'!$I$6:$I$11,'Holgura'!$B$6:$B$11,$A54,'Holgura'!$E$6:$E$11,"Diego")+SUMIFS('Holgura'!$I$6:$I$11,'Holgura'!$B$6:$B$11,$A54,'Holgura'!$E$6:$E$11,"Ambos")+SUMIFS('Entrega'!$I$6:$I$9,'Entrega'!$B$6:$B$9,$A54,'Entrega'!$E$6:$E$9,"Diego")+SUMIFS('Entrega'!$I$6:$I$9,'Entrega'!$B$6:$B$9,$A54,'Entrega'!$E$6:$E$9,"Ambos")+SUMIFS('Defensa'!$I$6:$I$10,'Defensa'!$B$6:$B$10,$A54,'Defensa'!$E$6:$E$10,"Diego")+SUMIFS('Defensa'!$I$6:$I$10,'Defensa'!$B$6:$B$10,$A54,'Defensa'!$E$6:$E$10,"Ambos")</f>
        <v/>
      </c>
      <c r="F54" s="21">
        <f>COUNTIFS('S1'!$B$6:$B$32,$A54,'S1'!$E$6:$E$32,"Víctor")+COUNTIFS('S1'!$B$6:$B$32,$A54,'S1'!$E$6:$E$32,"Ambos")+COUNTIFS('S2'!$B$6:$B$23,$A54,'S2'!$E$6:$E$23,"Víctor")+COUNTIFS('S2'!$B$6:$B$23,$A54,'S2'!$E$6:$E$23,"Ambos")+COUNTIFS('S3'!$B$6:$B$24,$A54,'S3'!$E$6:$E$24,"Víctor")+COUNTIFS('S3'!$B$6:$B$24,$A54,'S3'!$E$6:$E$24,"Ambos")+COUNTIFS('S4'!$B$6:$B$22,$A54,'S4'!$E$6:$E$22,"Víctor")+COUNTIFS('S4'!$B$6:$B$22,$A54,'S4'!$E$6:$E$22,"Ambos")+COUNTIFS('S5'!$B$6:$B$20,$A54,'S5'!$E$6:$E$20,"Víctor")+COUNTIFS('S5'!$B$6:$B$20,$A54,'S5'!$E$6:$E$20,"Ambos")+COUNTIFS('S6'!$B$6:$B$17,$A54,'S6'!$E$6:$E$17,"Víctor")+COUNTIFS('S6'!$B$6:$B$17,$A54,'S6'!$E$6:$E$17,"Ambos")+COUNTIFS('S7'!$B$6:$B$19,$A54,'S7'!$E$6:$E$19,"Víctor")+COUNTIFS('S7'!$B$6:$B$19,$A54,'S7'!$E$6:$E$19,"Ambos")+COUNTIFS('S8'!$B$6:$B$23,$A54,'S8'!$E$6:$E$23,"Víctor")+COUNTIFS('S8'!$B$6:$B$23,$A54,'S8'!$E$6:$E$23,"Ambos")+COUNTIFS('S9'!$B$6:$B$15,$A54,'S9'!$E$6:$E$15,"Víctor")+COUNTIFS('S9'!$B$6:$B$15,$A54,'S9'!$E$6:$E$15,"Ambos")+COUNTIFS('S10'!$B$6:$B$13,$A54,'S10'!$E$6:$E$13,"Víctor")+COUNTIFS('S10'!$B$6:$B$13,$A54,'S10'!$E$6:$E$13,"Ambos")+COUNTIFS('Holgura'!$B$6:$B$11,$A54,'Holgura'!$E$6:$E$11,"Víctor")+COUNTIFS('Holgura'!$B$6:$B$11,$A54,'Holgura'!$E$6:$E$11,"Ambos")+COUNTIFS('Entrega'!$B$6:$B$9,$A54,'Entrega'!$E$6:$E$9,"Víctor")+COUNTIFS('Entrega'!$B$6:$B$9,$A54,'Entrega'!$E$6:$E$9,"Ambos")+COUNTIFS('Defensa'!$B$6:$B$10,$A54,'Defensa'!$E$6:$E$10,"Víctor")+COUNTIFS('Defensa'!$B$6:$B$10,$A54,'Defensa'!$E$6:$E$10,"Ambos")</f>
        <v/>
      </c>
      <c r="G54" s="21">
        <f>COUNTIFS('S1'!$B$6:$B$32,$A54,'S1'!$E$6:$E$32,"Diego")+COUNTIFS('S1'!$B$6:$B$32,$A54,'S1'!$E$6:$E$32,"Ambos")+COUNTIFS('S2'!$B$6:$B$23,$A54,'S2'!$E$6:$E$23,"Diego")+COUNTIFS('S2'!$B$6:$B$23,$A54,'S2'!$E$6:$E$23,"Ambos")+COUNTIFS('S3'!$B$6:$B$24,$A54,'S3'!$E$6:$E$24,"Diego")+COUNTIFS('S3'!$B$6:$B$24,$A54,'S3'!$E$6:$E$24,"Ambos")+COUNTIFS('S4'!$B$6:$B$22,$A54,'S4'!$E$6:$E$22,"Diego")+COUNTIFS('S4'!$B$6:$B$22,$A54,'S4'!$E$6:$E$22,"Ambos")+COUNTIFS('S5'!$B$6:$B$20,$A54,'S5'!$E$6:$E$20,"Diego")+COUNTIFS('S5'!$B$6:$B$20,$A54,'S5'!$E$6:$E$20,"Ambos")+COUNTIFS('S6'!$B$6:$B$17,$A54,'S6'!$E$6:$E$17,"Diego")+COUNTIFS('S6'!$B$6:$B$17,$A54,'S6'!$E$6:$E$17,"Ambos")+COUNTIFS('S7'!$B$6:$B$19,$A54,'S7'!$E$6:$E$19,"Diego")+COUNTIFS('S7'!$B$6:$B$19,$A54,'S7'!$E$6:$E$19,"Ambos")+COUNTIFS('S8'!$B$6:$B$23,$A54,'S8'!$E$6:$E$23,"Diego")+COUNTIFS('S8'!$B$6:$B$23,$A54,'S8'!$E$6:$E$23,"Ambos")+COUNTIFS('S9'!$B$6:$B$15,$A54,'S9'!$E$6:$E$15,"Diego")+COUNTIFS('S9'!$B$6:$B$15,$A54,'S9'!$E$6:$E$15,"Ambos")+COUNTIFS('S10'!$B$6:$B$13,$A54,'S10'!$E$6:$E$13,"Diego")+COUNTIFS('S10'!$B$6:$B$13,$A54,'S10'!$E$6:$E$13,"Ambos")+COUNTIFS('Holgura'!$B$6:$B$11,$A54,'Holgura'!$E$6:$E$11,"Diego")+COUNTIFS('Holgura'!$B$6:$B$11,$A54,'Holgura'!$E$6:$E$11,"Ambos")+COUNTIFS('Entrega'!$B$6:$B$9,$A54,'Entrega'!$E$6:$E$9,"Diego")+COUNTIFS('Entrega'!$B$6:$B$9,$A54,'Entrega'!$E$6:$E$9,"Ambos")+COUNTIFS('Defensa'!$B$6:$B$10,$A54,'Defensa'!$E$6:$E$10,"Diego")+COUNTIFS('Defensa'!$B$6:$B$10,$A54,'Defensa'!$E$6:$E$10,"Ambos")</f>
        <v/>
      </c>
    </row>
    <row r="55">
      <c r="A55" s="25" t="n">
        <v>46357</v>
      </c>
      <c r="B55" s="26">
        <f>A55</f>
        <v/>
      </c>
      <c r="C55" s="21">
        <f>IF(WEEKDAY(A55,2)&gt;5,4,2)</f>
        <v/>
      </c>
      <c r="D55" s="21">
        <f>SUMIFS('S1'!$I$6:$I$32,'S1'!$B$6:$B$32,$A55,'S1'!$E$6:$E$32,"Víctor")+SUMIFS('S1'!$I$6:$I$32,'S1'!$B$6:$B$32,$A55,'S1'!$E$6:$E$32,"Ambos")+SUMIFS('S2'!$I$6:$I$23,'S2'!$B$6:$B$23,$A55,'S2'!$E$6:$E$23,"Víctor")+SUMIFS('S2'!$I$6:$I$23,'S2'!$B$6:$B$23,$A55,'S2'!$E$6:$E$23,"Ambos")+SUMIFS('S3'!$I$6:$I$24,'S3'!$B$6:$B$24,$A55,'S3'!$E$6:$E$24,"Víctor")+SUMIFS('S3'!$I$6:$I$24,'S3'!$B$6:$B$24,$A55,'S3'!$E$6:$E$24,"Ambos")+SUMIFS('S4'!$I$6:$I$22,'S4'!$B$6:$B$22,$A55,'S4'!$E$6:$E$22,"Víctor")+SUMIFS('S4'!$I$6:$I$22,'S4'!$B$6:$B$22,$A55,'S4'!$E$6:$E$22,"Ambos")+SUMIFS('S5'!$I$6:$I$20,'S5'!$B$6:$B$20,$A55,'S5'!$E$6:$E$20,"Víctor")+SUMIFS('S5'!$I$6:$I$20,'S5'!$B$6:$B$20,$A55,'S5'!$E$6:$E$20,"Ambos")+SUMIFS('S6'!$I$6:$I$17,'S6'!$B$6:$B$17,$A55,'S6'!$E$6:$E$17,"Víctor")+SUMIFS('S6'!$I$6:$I$17,'S6'!$B$6:$B$17,$A55,'S6'!$E$6:$E$17,"Ambos")+SUMIFS('S7'!$I$6:$I$19,'S7'!$B$6:$B$19,$A55,'S7'!$E$6:$E$19,"Víctor")+SUMIFS('S7'!$I$6:$I$19,'S7'!$B$6:$B$19,$A55,'S7'!$E$6:$E$19,"Ambos")+SUMIFS('S8'!$I$6:$I$23,'S8'!$B$6:$B$23,$A55,'S8'!$E$6:$E$23,"Víctor")+SUMIFS('S8'!$I$6:$I$23,'S8'!$B$6:$B$23,$A55,'S8'!$E$6:$E$23,"Ambos")+SUMIFS('S9'!$I$6:$I$15,'S9'!$B$6:$B$15,$A55,'S9'!$E$6:$E$15,"Víctor")+SUMIFS('S9'!$I$6:$I$15,'S9'!$B$6:$B$15,$A55,'S9'!$E$6:$E$15,"Ambos")+SUMIFS('S10'!$I$6:$I$13,'S10'!$B$6:$B$13,$A55,'S10'!$E$6:$E$13,"Víctor")+SUMIFS('S10'!$I$6:$I$13,'S10'!$B$6:$B$13,$A55,'S10'!$E$6:$E$13,"Ambos")+SUMIFS('Holgura'!$I$6:$I$11,'Holgura'!$B$6:$B$11,$A55,'Holgura'!$E$6:$E$11,"Víctor")+SUMIFS('Holgura'!$I$6:$I$11,'Holgura'!$B$6:$B$11,$A55,'Holgura'!$E$6:$E$11,"Ambos")+SUMIFS('Entrega'!$I$6:$I$9,'Entrega'!$B$6:$B$9,$A55,'Entrega'!$E$6:$E$9,"Víctor")+SUMIFS('Entrega'!$I$6:$I$9,'Entrega'!$B$6:$B$9,$A55,'Entrega'!$E$6:$E$9,"Ambos")+SUMIFS('Defensa'!$I$6:$I$10,'Defensa'!$B$6:$B$10,$A55,'Defensa'!$E$6:$E$10,"Víctor")+SUMIFS('Defensa'!$I$6:$I$10,'Defensa'!$B$6:$B$10,$A55,'Defensa'!$E$6:$E$10,"Ambos")</f>
        <v/>
      </c>
      <c r="E55" s="21">
        <f>SUMIFS('S1'!$I$6:$I$32,'S1'!$B$6:$B$32,$A55,'S1'!$E$6:$E$32,"Diego")+SUMIFS('S1'!$I$6:$I$32,'S1'!$B$6:$B$32,$A55,'S1'!$E$6:$E$32,"Ambos")+SUMIFS('S2'!$I$6:$I$23,'S2'!$B$6:$B$23,$A55,'S2'!$E$6:$E$23,"Diego")+SUMIFS('S2'!$I$6:$I$23,'S2'!$B$6:$B$23,$A55,'S2'!$E$6:$E$23,"Ambos")+SUMIFS('S3'!$I$6:$I$24,'S3'!$B$6:$B$24,$A55,'S3'!$E$6:$E$24,"Diego")+SUMIFS('S3'!$I$6:$I$24,'S3'!$B$6:$B$24,$A55,'S3'!$E$6:$E$24,"Ambos")+SUMIFS('S4'!$I$6:$I$22,'S4'!$B$6:$B$22,$A55,'S4'!$E$6:$E$22,"Diego")+SUMIFS('S4'!$I$6:$I$22,'S4'!$B$6:$B$22,$A55,'S4'!$E$6:$E$22,"Ambos")+SUMIFS('S5'!$I$6:$I$20,'S5'!$B$6:$B$20,$A55,'S5'!$E$6:$E$20,"Diego")+SUMIFS('S5'!$I$6:$I$20,'S5'!$B$6:$B$20,$A55,'S5'!$E$6:$E$20,"Ambos")+SUMIFS('S6'!$I$6:$I$17,'S6'!$B$6:$B$17,$A55,'S6'!$E$6:$E$17,"Diego")+SUMIFS('S6'!$I$6:$I$17,'S6'!$B$6:$B$17,$A55,'S6'!$E$6:$E$17,"Ambos")+SUMIFS('S7'!$I$6:$I$19,'S7'!$B$6:$B$19,$A55,'S7'!$E$6:$E$19,"Diego")+SUMIFS('S7'!$I$6:$I$19,'S7'!$B$6:$B$19,$A55,'S7'!$E$6:$E$19,"Ambos")+SUMIFS('S8'!$I$6:$I$23,'S8'!$B$6:$B$23,$A55,'S8'!$E$6:$E$23,"Diego")+SUMIFS('S8'!$I$6:$I$23,'S8'!$B$6:$B$23,$A55,'S8'!$E$6:$E$23,"Ambos")+SUMIFS('S9'!$I$6:$I$15,'S9'!$B$6:$B$15,$A55,'S9'!$E$6:$E$15,"Diego")+SUMIFS('S9'!$I$6:$I$15,'S9'!$B$6:$B$15,$A55,'S9'!$E$6:$E$15,"Ambos")+SUMIFS('S10'!$I$6:$I$13,'S10'!$B$6:$B$13,$A55,'S10'!$E$6:$E$13,"Diego")+SUMIFS('S10'!$I$6:$I$13,'S10'!$B$6:$B$13,$A55,'S10'!$E$6:$E$13,"Ambos")+SUMIFS('Holgura'!$I$6:$I$11,'Holgura'!$B$6:$B$11,$A55,'Holgura'!$E$6:$E$11,"Diego")+SUMIFS('Holgura'!$I$6:$I$11,'Holgura'!$B$6:$B$11,$A55,'Holgura'!$E$6:$E$11,"Ambos")+SUMIFS('Entrega'!$I$6:$I$9,'Entrega'!$B$6:$B$9,$A55,'Entrega'!$E$6:$E$9,"Diego")+SUMIFS('Entrega'!$I$6:$I$9,'Entrega'!$B$6:$B$9,$A55,'Entrega'!$E$6:$E$9,"Ambos")+SUMIFS('Defensa'!$I$6:$I$10,'Defensa'!$B$6:$B$10,$A55,'Defensa'!$E$6:$E$10,"Diego")+SUMIFS('Defensa'!$I$6:$I$10,'Defensa'!$B$6:$B$10,$A55,'Defensa'!$E$6:$E$10,"Ambos")</f>
        <v/>
      </c>
      <c r="F55" s="21">
        <f>COUNTIFS('S1'!$B$6:$B$32,$A55,'S1'!$E$6:$E$32,"Víctor")+COUNTIFS('S1'!$B$6:$B$32,$A55,'S1'!$E$6:$E$32,"Ambos")+COUNTIFS('S2'!$B$6:$B$23,$A55,'S2'!$E$6:$E$23,"Víctor")+COUNTIFS('S2'!$B$6:$B$23,$A55,'S2'!$E$6:$E$23,"Ambos")+COUNTIFS('S3'!$B$6:$B$24,$A55,'S3'!$E$6:$E$24,"Víctor")+COUNTIFS('S3'!$B$6:$B$24,$A55,'S3'!$E$6:$E$24,"Ambos")+COUNTIFS('S4'!$B$6:$B$22,$A55,'S4'!$E$6:$E$22,"Víctor")+COUNTIFS('S4'!$B$6:$B$22,$A55,'S4'!$E$6:$E$22,"Ambos")+COUNTIFS('S5'!$B$6:$B$20,$A55,'S5'!$E$6:$E$20,"Víctor")+COUNTIFS('S5'!$B$6:$B$20,$A55,'S5'!$E$6:$E$20,"Ambos")+COUNTIFS('S6'!$B$6:$B$17,$A55,'S6'!$E$6:$E$17,"Víctor")+COUNTIFS('S6'!$B$6:$B$17,$A55,'S6'!$E$6:$E$17,"Ambos")+COUNTIFS('S7'!$B$6:$B$19,$A55,'S7'!$E$6:$E$19,"Víctor")+COUNTIFS('S7'!$B$6:$B$19,$A55,'S7'!$E$6:$E$19,"Ambos")+COUNTIFS('S8'!$B$6:$B$23,$A55,'S8'!$E$6:$E$23,"Víctor")+COUNTIFS('S8'!$B$6:$B$23,$A55,'S8'!$E$6:$E$23,"Ambos")+COUNTIFS('S9'!$B$6:$B$15,$A55,'S9'!$E$6:$E$15,"Víctor")+COUNTIFS('S9'!$B$6:$B$15,$A55,'S9'!$E$6:$E$15,"Ambos")+COUNTIFS('S10'!$B$6:$B$13,$A55,'S10'!$E$6:$E$13,"Víctor")+COUNTIFS('S10'!$B$6:$B$13,$A55,'S10'!$E$6:$E$13,"Ambos")+COUNTIFS('Holgura'!$B$6:$B$11,$A55,'Holgura'!$E$6:$E$11,"Víctor")+COUNTIFS('Holgura'!$B$6:$B$11,$A55,'Holgura'!$E$6:$E$11,"Ambos")+COUNTIFS('Entrega'!$B$6:$B$9,$A55,'Entrega'!$E$6:$E$9,"Víctor")+COUNTIFS('Entrega'!$B$6:$B$9,$A55,'Entrega'!$E$6:$E$9,"Ambos")+COUNTIFS('Defensa'!$B$6:$B$10,$A55,'Defensa'!$E$6:$E$10,"Víctor")+COUNTIFS('Defensa'!$B$6:$B$10,$A55,'Defensa'!$E$6:$E$10,"Ambos")</f>
        <v/>
      </c>
      <c r="G55" s="21">
        <f>COUNTIFS('S1'!$B$6:$B$32,$A55,'S1'!$E$6:$E$32,"Diego")+COUNTIFS('S1'!$B$6:$B$32,$A55,'S1'!$E$6:$E$32,"Ambos")+COUNTIFS('S2'!$B$6:$B$23,$A55,'S2'!$E$6:$E$23,"Diego")+COUNTIFS('S2'!$B$6:$B$23,$A55,'S2'!$E$6:$E$23,"Ambos")+COUNTIFS('S3'!$B$6:$B$24,$A55,'S3'!$E$6:$E$24,"Diego")+COUNTIFS('S3'!$B$6:$B$24,$A55,'S3'!$E$6:$E$24,"Ambos")+COUNTIFS('S4'!$B$6:$B$22,$A55,'S4'!$E$6:$E$22,"Diego")+COUNTIFS('S4'!$B$6:$B$22,$A55,'S4'!$E$6:$E$22,"Ambos")+COUNTIFS('S5'!$B$6:$B$20,$A55,'S5'!$E$6:$E$20,"Diego")+COUNTIFS('S5'!$B$6:$B$20,$A55,'S5'!$E$6:$E$20,"Ambos")+COUNTIFS('S6'!$B$6:$B$17,$A55,'S6'!$E$6:$E$17,"Diego")+COUNTIFS('S6'!$B$6:$B$17,$A55,'S6'!$E$6:$E$17,"Ambos")+COUNTIFS('S7'!$B$6:$B$19,$A55,'S7'!$E$6:$E$19,"Diego")+COUNTIFS('S7'!$B$6:$B$19,$A55,'S7'!$E$6:$E$19,"Ambos")+COUNTIFS('S8'!$B$6:$B$23,$A55,'S8'!$E$6:$E$23,"Diego")+COUNTIFS('S8'!$B$6:$B$23,$A55,'S8'!$E$6:$E$23,"Ambos")+COUNTIFS('S9'!$B$6:$B$15,$A55,'S9'!$E$6:$E$15,"Diego")+COUNTIFS('S9'!$B$6:$B$15,$A55,'S9'!$E$6:$E$15,"Ambos")+COUNTIFS('S10'!$B$6:$B$13,$A55,'S10'!$E$6:$E$13,"Diego")+COUNTIFS('S10'!$B$6:$B$13,$A55,'S10'!$E$6:$E$13,"Ambos")+COUNTIFS('Holgura'!$B$6:$B$11,$A55,'Holgura'!$E$6:$E$11,"Diego")+COUNTIFS('Holgura'!$B$6:$B$11,$A55,'Holgura'!$E$6:$E$11,"Ambos")+COUNTIFS('Entrega'!$B$6:$B$9,$A55,'Entrega'!$E$6:$E$9,"Diego")+COUNTIFS('Entrega'!$B$6:$B$9,$A55,'Entrega'!$E$6:$E$9,"Ambos")+COUNTIFS('Defensa'!$B$6:$B$10,$A55,'Defensa'!$E$6:$E$10,"Diego")+COUNTIFS('Defensa'!$B$6:$B$10,$A55,'Defensa'!$E$6:$E$10,"Ambos")</f>
        <v/>
      </c>
    </row>
    <row r="56">
      <c r="A56" s="25" t="n">
        <v>46358</v>
      </c>
      <c r="B56" s="26">
        <f>A56</f>
        <v/>
      </c>
      <c r="C56" s="21">
        <f>IF(WEEKDAY(A56,2)&gt;5,4,2)</f>
        <v/>
      </c>
      <c r="D56" s="21">
        <f>SUMIFS('S1'!$I$6:$I$32,'S1'!$B$6:$B$32,$A56,'S1'!$E$6:$E$32,"Víctor")+SUMIFS('S1'!$I$6:$I$32,'S1'!$B$6:$B$32,$A56,'S1'!$E$6:$E$32,"Ambos")+SUMIFS('S2'!$I$6:$I$23,'S2'!$B$6:$B$23,$A56,'S2'!$E$6:$E$23,"Víctor")+SUMIFS('S2'!$I$6:$I$23,'S2'!$B$6:$B$23,$A56,'S2'!$E$6:$E$23,"Ambos")+SUMIFS('S3'!$I$6:$I$24,'S3'!$B$6:$B$24,$A56,'S3'!$E$6:$E$24,"Víctor")+SUMIFS('S3'!$I$6:$I$24,'S3'!$B$6:$B$24,$A56,'S3'!$E$6:$E$24,"Ambos")+SUMIFS('S4'!$I$6:$I$22,'S4'!$B$6:$B$22,$A56,'S4'!$E$6:$E$22,"Víctor")+SUMIFS('S4'!$I$6:$I$22,'S4'!$B$6:$B$22,$A56,'S4'!$E$6:$E$22,"Ambos")+SUMIFS('S5'!$I$6:$I$20,'S5'!$B$6:$B$20,$A56,'S5'!$E$6:$E$20,"Víctor")+SUMIFS('S5'!$I$6:$I$20,'S5'!$B$6:$B$20,$A56,'S5'!$E$6:$E$20,"Ambos")+SUMIFS('S6'!$I$6:$I$17,'S6'!$B$6:$B$17,$A56,'S6'!$E$6:$E$17,"Víctor")+SUMIFS('S6'!$I$6:$I$17,'S6'!$B$6:$B$17,$A56,'S6'!$E$6:$E$17,"Ambos")+SUMIFS('S7'!$I$6:$I$19,'S7'!$B$6:$B$19,$A56,'S7'!$E$6:$E$19,"Víctor")+SUMIFS('S7'!$I$6:$I$19,'S7'!$B$6:$B$19,$A56,'S7'!$E$6:$E$19,"Ambos")+SUMIFS('S8'!$I$6:$I$23,'S8'!$B$6:$B$23,$A56,'S8'!$E$6:$E$23,"Víctor")+SUMIFS('S8'!$I$6:$I$23,'S8'!$B$6:$B$23,$A56,'S8'!$E$6:$E$23,"Ambos")+SUMIFS('S9'!$I$6:$I$15,'S9'!$B$6:$B$15,$A56,'S9'!$E$6:$E$15,"Víctor")+SUMIFS('S9'!$I$6:$I$15,'S9'!$B$6:$B$15,$A56,'S9'!$E$6:$E$15,"Ambos")+SUMIFS('S10'!$I$6:$I$13,'S10'!$B$6:$B$13,$A56,'S10'!$E$6:$E$13,"Víctor")+SUMIFS('S10'!$I$6:$I$13,'S10'!$B$6:$B$13,$A56,'S10'!$E$6:$E$13,"Ambos")+SUMIFS('Holgura'!$I$6:$I$11,'Holgura'!$B$6:$B$11,$A56,'Holgura'!$E$6:$E$11,"Víctor")+SUMIFS('Holgura'!$I$6:$I$11,'Holgura'!$B$6:$B$11,$A56,'Holgura'!$E$6:$E$11,"Ambos")+SUMIFS('Entrega'!$I$6:$I$9,'Entrega'!$B$6:$B$9,$A56,'Entrega'!$E$6:$E$9,"Víctor")+SUMIFS('Entrega'!$I$6:$I$9,'Entrega'!$B$6:$B$9,$A56,'Entrega'!$E$6:$E$9,"Ambos")+SUMIFS('Defensa'!$I$6:$I$10,'Defensa'!$B$6:$B$10,$A56,'Defensa'!$E$6:$E$10,"Víctor")+SUMIFS('Defensa'!$I$6:$I$10,'Defensa'!$B$6:$B$10,$A56,'Defensa'!$E$6:$E$10,"Ambos")</f>
        <v/>
      </c>
      <c r="E56" s="21">
        <f>SUMIFS('S1'!$I$6:$I$32,'S1'!$B$6:$B$32,$A56,'S1'!$E$6:$E$32,"Diego")+SUMIFS('S1'!$I$6:$I$32,'S1'!$B$6:$B$32,$A56,'S1'!$E$6:$E$32,"Ambos")+SUMIFS('S2'!$I$6:$I$23,'S2'!$B$6:$B$23,$A56,'S2'!$E$6:$E$23,"Diego")+SUMIFS('S2'!$I$6:$I$23,'S2'!$B$6:$B$23,$A56,'S2'!$E$6:$E$23,"Ambos")+SUMIFS('S3'!$I$6:$I$24,'S3'!$B$6:$B$24,$A56,'S3'!$E$6:$E$24,"Diego")+SUMIFS('S3'!$I$6:$I$24,'S3'!$B$6:$B$24,$A56,'S3'!$E$6:$E$24,"Ambos")+SUMIFS('S4'!$I$6:$I$22,'S4'!$B$6:$B$22,$A56,'S4'!$E$6:$E$22,"Diego")+SUMIFS('S4'!$I$6:$I$22,'S4'!$B$6:$B$22,$A56,'S4'!$E$6:$E$22,"Ambos")+SUMIFS('S5'!$I$6:$I$20,'S5'!$B$6:$B$20,$A56,'S5'!$E$6:$E$20,"Diego")+SUMIFS('S5'!$I$6:$I$20,'S5'!$B$6:$B$20,$A56,'S5'!$E$6:$E$20,"Ambos")+SUMIFS('S6'!$I$6:$I$17,'S6'!$B$6:$B$17,$A56,'S6'!$E$6:$E$17,"Diego")+SUMIFS('S6'!$I$6:$I$17,'S6'!$B$6:$B$17,$A56,'S6'!$E$6:$E$17,"Ambos")+SUMIFS('S7'!$I$6:$I$19,'S7'!$B$6:$B$19,$A56,'S7'!$E$6:$E$19,"Diego")+SUMIFS('S7'!$I$6:$I$19,'S7'!$B$6:$B$19,$A56,'S7'!$E$6:$E$19,"Ambos")+SUMIFS('S8'!$I$6:$I$23,'S8'!$B$6:$B$23,$A56,'S8'!$E$6:$E$23,"Diego")+SUMIFS('S8'!$I$6:$I$23,'S8'!$B$6:$B$23,$A56,'S8'!$E$6:$E$23,"Ambos")+SUMIFS('S9'!$I$6:$I$15,'S9'!$B$6:$B$15,$A56,'S9'!$E$6:$E$15,"Diego")+SUMIFS('S9'!$I$6:$I$15,'S9'!$B$6:$B$15,$A56,'S9'!$E$6:$E$15,"Ambos")+SUMIFS('S10'!$I$6:$I$13,'S10'!$B$6:$B$13,$A56,'S10'!$E$6:$E$13,"Diego")+SUMIFS('S10'!$I$6:$I$13,'S10'!$B$6:$B$13,$A56,'S10'!$E$6:$E$13,"Ambos")+SUMIFS('Holgura'!$I$6:$I$11,'Holgura'!$B$6:$B$11,$A56,'Holgura'!$E$6:$E$11,"Diego")+SUMIFS('Holgura'!$I$6:$I$11,'Holgura'!$B$6:$B$11,$A56,'Holgura'!$E$6:$E$11,"Ambos")+SUMIFS('Entrega'!$I$6:$I$9,'Entrega'!$B$6:$B$9,$A56,'Entrega'!$E$6:$E$9,"Diego")+SUMIFS('Entrega'!$I$6:$I$9,'Entrega'!$B$6:$B$9,$A56,'Entrega'!$E$6:$E$9,"Ambos")+SUMIFS('Defensa'!$I$6:$I$10,'Defensa'!$B$6:$B$10,$A56,'Defensa'!$E$6:$E$10,"Diego")+SUMIFS('Defensa'!$I$6:$I$10,'Defensa'!$B$6:$B$10,$A56,'Defensa'!$E$6:$E$10,"Ambos")</f>
        <v/>
      </c>
      <c r="F56" s="21">
        <f>COUNTIFS('S1'!$B$6:$B$32,$A56,'S1'!$E$6:$E$32,"Víctor")+COUNTIFS('S1'!$B$6:$B$32,$A56,'S1'!$E$6:$E$32,"Ambos")+COUNTIFS('S2'!$B$6:$B$23,$A56,'S2'!$E$6:$E$23,"Víctor")+COUNTIFS('S2'!$B$6:$B$23,$A56,'S2'!$E$6:$E$23,"Ambos")+COUNTIFS('S3'!$B$6:$B$24,$A56,'S3'!$E$6:$E$24,"Víctor")+COUNTIFS('S3'!$B$6:$B$24,$A56,'S3'!$E$6:$E$24,"Ambos")+COUNTIFS('S4'!$B$6:$B$22,$A56,'S4'!$E$6:$E$22,"Víctor")+COUNTIFS('S4'!$B$6:$B$22,$A56,'S4'!$E$6:$E$22,"Ambos")+COUNTIFS('S5'!$B$6:$B$20,$A56,'S5'!$E$6:$E$20,"Víctor")+COUNTIFS('S5'!$B$6:$B$20,$A56,'S5'!$E$6:$E$20,"Ambos")+COUNTIFS('S6'!$B$6:$B$17,$A56,'S6'!$E$6:$E$17,"Víctor")+COUNTIFS('S6'!$B$6:$B$17,$A56,'S6'!$E$6:$E$17,"Ambos")+COUNTIFS('S7'!$B$6:$B$19,$A56,'S7'!$E$6:$E$19,"Víctor")+COUNTIFS('S7'!$B$6:$B$19,$A56,'S7'!$E$6:$E$19,"Ambos")+COUNTIFS('S8'!$B$6:$B$23,$A56,'S8'!$E$6:$E$23,"Víctor")+COUNTIFS('S8'!$B$6:$B$23,$A56,'S8'!$E$6:$E$23,"Ambos")+COUNTIFS('S9'!$B$6:$B$15,$A56,'S9'!$E$6:$E$15,"Víctor")+COUNTIFS('S9'!$B$6:$B$15,$A56,'S9'!$E$6:$E$15,"Ambos")+COUNTIFS('S10'!$B$6:$B$13,$A56,'S10'!$E$6:$E$13,"Víctor")+COUNTIFS('S10'!$B$6:$B$13,$A56,'S10'!$E$6:$E$13,"Ambos")+COUNTIFS('Holgura'!$B$6:$B$11,$A56,'Holgura'!$E$6:$E$11,"Víctor")+COUNTIFS('Holgura'!$B$6:$B$11,$A56,'Holgura'!$E$6:$E$11,"Ambos")+COUNTIFS('Entrega'!$B$6:$B$9,$A56,'Entrega'!$E$6:$E$9,"Víctor")+COUNTIFS('Entrega'!$B$6:$B$9,$A56,'Entrega'!$E$6:$E$9,"Ambos")+COUNTIFS('Defensa'!$B$6:$B$10,$A56,'Defensa'!$E$6:$E$10,"Víctor")+COUNTIFS('Defensa'!$B$6:$B$10,$A56,'Defensa'!$E$6:$E$10,"Ambos")</f>
        <v/>
      </c>
      <c r="G56" s="21">
        <f>COUNTIFS('S1'!$B$6:$B$32,$A56,'S1'!$E$6:$E$32,"Diego")+COUNTIFS('S1'!$B$6:$B$32,$A56,'S1'!$E$6:$E$32,"Ambos")+COUNTIFS('S2'!$B$6:$B$23,$A56,'S2'!$E$6:$E$23,"Diego")+COUNTIFS('S2'!$B$6:$B$23,$A56,'S2'!$E$6:$E$23,"Ambos")+COUNTIFS('S3'!$B$6:$B$24,$A56,'S3'!$E$6:$E$24,"Diego")+COUNTIFS('S3'!$B$6:$B$24,$A56,'S3'!$E$6:$E$24,"Ambos")+COUNTIFS('S4'!$B$6:$B$22,$A56,'S4'!$E$6:$E$22,"Diego")+COUNTIFS('S4'!$B$6:$B$22,$A56,'S4'!$E$6:$E$22,"Ambos")+COUNTIFS('S5'!$B$6:$B$20,$A56,'S5'!$E$6:$E$20,"Diego")+COUNTIFS('S5'!$B$6:$B$20,$A56,'S5'!$E$6:$E$20,"Ambos")+COUNTIFS('S6'!$B$6:$B$17,$A56,'S6'!$E$6:$E$17,"Diego")+COUNTIFS('S6'!$B$6:$B$17,$A56,'S6'!$E$6:$E$17,"Ambos")+COUNTIFS('S7'!$B$6:$B$19,$A56,'S7'!$E$6:$E$19,"Diego")+COUNTIFS('S7'!$B$6:$B$19,$A56,'S7'!$E$6:$E$19,"Ambos")+COUNTIFS('S8'!$B$6:$B$23,$A56,'S8'!$E$6:$E$23,"Diego")+COUNTIFS('S8'!$B$6:$B$23,$A56,'S8'!$E$6:$E$23,"Ambos")+COUNTIFS('S9'!$B$6:$B$15,$A56,'S9'!$E$6:$E$15,"Diego")+COUNTIFS('S9'!$B$6:$B$15,$A56,'S9'!$E$6:$E$15,"Ambos")+COUNTIFS('S10'!$B$6:$B$13,$A56,'S10'!$E$6:$E$13,"Diego")+COUNTIFS('S10'!$B$6:$B$13,$A56,'S10'!$E$6:$E$13,"Ambos")+COUNTIFS('Holgura'!$B$6:$B$11,$A56,'Holgura'!$E$6:$E$11,"Diego")+COUNTIFS('Holgura'!$B$6:$B$11,$A56,'Holgura'!$E$6:$E$11,"Ambos")+COUNTIFS('Entrega'!$B$6:$B$9,$A56,'Entrega'!$E$6:$E$9,"Diego")+COUNTIFS('Entrega'!$B$6:$B$9,$A56,'Entrega'!$E$6:$E$9,"Ambos")+COUNTIFS('Defensa'!$B$6:$B$10,$A56,'Defensa'!$E$6:$E$10,"Diego")+COUNTIFS('Defensa'!$B$6:$B$10,$A56,'Defensa'!$E$6:$E$10,"Ambos")</f>
        <v/>
      </c>
    </row>
    <row r="57">
      <c r="A57" s="25" t="n">
        <v>46359</v>
      </c>
      <c r="B57" s="26">
        <f>A57</f>
        <v/>
      </c>
      <c r="C57" s="21">
        <f>IF(WEEKDAY(A57,2)&gt;5,4,2)</f>
        <v/>
      </c>
      <c r="D57" s="21">
        <f>SUMIFS('S1'!$I$6:$I$32,'S1'!$B$6:$B$32,$A57,'S1'!$E$6:$E$32,"Víctor")+SUMIFS('S1'!$I$6:$I$32,'S1'!$B$6:$B$32,$A57,'S1'!$E$6:$E$32,"Ambos")+SUMIFS('S2'!$I$6:$I$23,'S2'!$B$6:$B$23,$A57,'S2'!$E$6:$E$23,"Víctor")+SUMIFS('S2'!$I$6:$I$23,'S2'!$B$6:$B$23,$A57,'S2'!$E$6:$E$23,"Ambos")+SUMIFS('S3'!$I$6:$I$24,'S3'!$B$6:$B$24,$A57,'S3'!$E$6:$E$24,"Víctor")+SUMIFS('S3'!$I$6:$I$24,'S3'!$B$6:$B$24,$A57,'S3'!$E$6:$E$24,"Ambos")+SUMIFS('S4'!$I$6:$I$22,'S4'!$B$6:$B$22,$A57,'S4'!$E$6:$E$22,"Víctor")+SUMIFS('S4'!$I$6:$I$22,'S4'!$B$6:$B$22,$A57,'S4'!$E$6:$E$22,"Ambos")+SUMIFS('S5'!$I$6:$I$20,'S5'!$B$6:$B$20,$A57,'S5'!$E$6:$E$20,"Víctor")+SUMIFS('S5'!$I$6:$I$20,'S5'!$B$6:$B$20,$A57,'S5'!$E$6:$E$20,"Ambos")+SUMIFS('S6'!$I$6:$I$17,'S6'!$B$6:$B$17,$A57,'S6'!$E$6:$E$17,"Víctor")+SUMIFS('S6'!$I$6:$I$17,'S6'!$B$6:$B$17,$A57,'S6'!$E$6:$E$17,"Ambos")+SUMIFS('S7'!$I$6:$I$19,'S7'!$B$6:$B$19,$A57,'S7'!$E$6:$E$19,"Víctor")+SUMIFS('S7'!$I$6:$I$19,'S7'!$B$6:$B$19,$A57,'S7'!$E$6:$E$19,"Ambos")+SUMIFS('S8'!$I$6:$I$23,'S8'!$B$6:$B$23,$A57,'S8'!$E$6:$E$23,"Víctor")+SUMIFS('S8'!$I$6:$I$23,'S8'!$B$6:$B$23,$A57,'S8'!$E$6:$E$23,"Ambos")+SUMIFS('S9'!$I$6:$I$15,'S9'!$B$6:$B$15,$A57,'S9'!$E$6:$E$15,"Víctor")+SUMIFS('S9'!$I$6:$I$15,'S9'!$B$6:$B$15,$A57,'S9'!$E$6:$E$15,"Ambos")+SUMIFS('S10'!$I$6:$I$13,'S10'!$B$6:$B$13,$A57,'S10'!$E$6:$E$13,"Víctor")+SUMIFS('S10'!$I$6:$I$13,'S10'!$B$6:$B$13,$A57,'S10'!$E$6:$E$13,"Ambos")+SUMIFS('Holgura'!$I$6:$I$11,'Holgura'!$B$6:$B$11,$A57,'Holgura'!$E$6:$E$11,"Víctor")+SUMIFS('Holgura'!$I$6:$I$11,'Holgura'!$B$6:$B$11,$A57,'Holgura'!$E$6:$E$11,"Ambos")+SUMIFS('Entrega'!$I$6:$I$9,'Entrega'!$B$6:$B$9,$A57,'Entrega'!$E$6:$E$9,"Víctor")+SUMIFS('Entrega'!$I$6:$I$9,'Entrega'!$B$6:$B$9,$A57,'Entrega'!$E$6:$E$9,"Ambos")+SUMIFS('Defensa'!$I$6:$I$10,'Defensa'!$B$6:$B$10,$A57,'Defensa'!$E$6:$E$10,"Víctor")+SUMIFS('Defensa'!$I$6:$I$10,'Defensa'!$B$6:$B$10,$A57,'Defensa'!$E$6:$E$10,"Ambos")</f>
        <v/>
      </c>
      <c r="E57" s="21">
        <f>SUMIFS('S1'!$I$6:$I$32,'S1'!$B$6:$B$32,$A57,'S1'!$E$6:$E$32,"Diego")+SUMIFS('S1'!$I$6:$I$32,'S1'!$B$6:$B$32,$A57,'S1'!$E$6:$E$32,"Ambos")+SUMIFS('S2'!$I$6:$I$23,'S2'!$B$6:$B$23,$A57,'S2'!$E$6:$E$23,"Diego")+SUMIFS('S2'!$I$6:$I$23,'S2'!$B$6:$B$23,$A57,'S2'!$E$6:$E$23,"Ambos")+SUMIFS('S3'!$I$6:$I$24,'S3'!$B$6:$B$24,$A57,'S3'!$E$6:$E$24,"Diego")+SUMIFS('S3'!$I$6:$I$24,'S3'!$B$6:$B$24,$A57,'S3'!$E$6:$E$24,"Ambos")+SUMIFS('S4'!$I$6:$I$22,'S4'!$B$6:$B$22,$A57,'S4'!$E$6:$E$22,"Diego")+SUMIFS('S4'!$I$6:$I$22,'S4'!$B$6:$B$22,$A57,'S4'!$E$6:$E$22,"Ambos")+SUMIFS('S5'!$I$6:$I$20,'S5'!$B$6:$B$20,$A57,'S5'!$E$6:$E$20,"Diego")+SUMIFS('S5'!$I$6:$I$20,'S5'!$B$6:$B$20,$A57,'S5'!$E$6:$E$20,"Ambos")+SUMIFS('S6'!$I$6:$I$17,'S6'!$B$6:$B$17,$A57,'S6'!$E$6:$E$17,"Diego")+SUMIFS('S6'!$I$6:$I$17,'S6'!$B$6:$B$17,$A57,'S6'!$E$6:$E$17,"Ambos")+SUMIFS('S7'!$I$6:$I$19,'S7'!$B$6:$B$19,$A57,'S7'!$E$6:$E$19,"Diego")+SUMIFS('S7'!$I$6:$I$19,'S7'!$B$6:$B$19,$A57,'S7'!$E$6:$E$19,"Ambos")+SUMIFS('S8'!$I$6:$I$23,'S8'!$B$6:$B$23,$A57,'S8'!$E$6:$E$23,"Diego")+SUMIFS('S8'!$I$6:$I$23,'S8'!$B$6:$B$23,$A57,'S8'!$E$6:$E$23,"Ambos")+SUMIFS('S9'!$I$6:$I$15,'S9'!$B$6:$B$15,$A57,'S9'!$E$6:$E$15,"Diego")+SUMIFS('S9'!$I$6:$I$15,'S9'!$B$6:$B$15,$A57,'S9'!$E$6:$E$15,"Ambos")+SUMIFS('S10'!$I$6:$I$13,'S10'!$B$6:$B$13,$A57,'S10'!$E$6:$E$13,"Diego")+SUMIFS('S10'!$I$6:$I$13,'S10'!$B$6:$B$13,$A57,'S10'!$E$6:$E$13,"Ambos")+SUMIFS('Holgura'!$I$6:$I$11,'Holgura'!$B$6:$B$11,$A57,'Holgura'!$E$6:$E$11,"Diego")+SUMIFS('Holgura'!$I$6:$I$11,'Holgura'!$B$6:$B$11,$A57,'Holgura'!$E$6:$E$11,"Ambos")+SUMIFS('Entrega'!$I$6:$I$9,'Entrega'!$B$6:$B$9,$A57,'Entrega'!$E$6:$E$9,"Diego")+SUMIFS('Entrega'!$I$6:$I$9,'Entrega'!$B$6:$B$9,$A57,'Entrega'!$E$6:$E$9,"Ambos")+SUMIFS('Defensa'!$I$6:$I$10,'Defensa'!$B$6:$B$10,$A57,'Defensa'!$E$6:$E$10,"Diego")+SUMIFS('Defensa'!$I$6:$I$10,'Defensa'!$B$6:$B$10,$A57,'Defensa'!$E$6:$E$10,"Ambos")</f>
        <v/>
      </c>
      <c r="F57" s="21">
        <f>COUNTIFS('S1'!$B$6:$B$32,$A57,'S1'!$E$6:$E$32,"Víctor")+COUNTIFS('S1'!$B$6:$B$32,$A57,'S1'!$E$6:$E$32,"Ambos")+COUNTIFS('S2'!$B$6:$B$23,$A57,'S2'!$E$6:$E$23,"Víctor")+COUNTIFS('S2'!$B$6:$B$23,$A57,'S2'!$E$6:$E$23,"Ambos")+COUNTIFS('S3'!$B$6:$B$24,$A57,'S3'!$E$6:$E$24,"Víctor")+COUNTIFS('S3'!$B$6:$B$24,$A57,'S3'!$E$6:$E$24,"Ambos")+COUNTIFS('S4'!$B$6:$B$22,$A57,'S4'!$E$6:$E$22,"Víctor")+COUNTIFS('S4'!$B$6:$B$22,$A57,'S4'!$E$6:$E$22,"Ambos")+COUNTIFS('S5'!$B$6:$B$20,$A57,'S5'!$E$6:$E$20,"Víctor")+COUNTIFS('S5'!$B$6:$B$20,$A57,'S5'!$E$6:$E$20,"Ambos")+COUNTIFS('S6'!$B$6:$B$17,$A57,'S6'!$E$6:$E$17,"Víctor")+COUNTIFS('S6'!$B$6:$B$17,$A57,'S6'!$E$6:$E$17,"Ambos")+COUNTIFS('S7'!$B$6:$B$19,$A57,'S7'!$E$6:$E$19,"Víctor")+COUNTIFS('S7'!$B$6:$B$19,$A57,'S7'!$E$6:$E$19,"Ambos")+COUNTIFS('S8'!$B$6:$B$23,$A57,'S8'!$E$6:$E$23,"Víctor")+COUNTIFS('S8'!$B$6:$B$23,$A57,'S8'!$E$6:$E$23,"Ambos")+COUNTIFS('S9'!$B$6:$B$15,$A57,'S9'!$E$6:$E$15,"Víctor")+COUNTIFS('S9'!$B$6:$B$15,$A57,'S9'!$E$6:$E$15,"Ambos")+COUNTIFS('S10'!$B$6:$B$13,$A57,'S10'!$E$6:$E$13,"Víctor")+COUNTIFS('S10'!$B$6:$B$13,$A57,'S10'!$E$6:$E$13,"Ambos")+COUNTIFS('Holgura'!$B$6:$B$11,$A57,'Holgura'!$E$6:$E$11,"Víctor")+COUNTIFS('Holgura'!$B$6:$B$11,$A57,'Holgura'!$E$6:$E$11,"Ambos")+COUNTIFS('Entrega'!$B$6:$B$9,$A57,'Entrega'!$E$6:$E$9,"Víctor")+COUNTIFS('Entrega'!$B$6:$B$9,$A57,'Entrega'!$E$6:$E$9,"Ambos")+COUNTIFS('Defensa'!$B$6:$B$10,$A57,'Defensa'!$E$6:$E$10,"Víctor")+COUNTIFS('Defensa'!$B$6:$B$10,$A57,'Defensa'!$E$6:$E$10,"Ambos")</f>
        <v/>
      </c>
      <c r="G57" s="21">
        <f>COUNTIFS('S1'!$B$6:$B$32,$A57,'S1'!$E$6:$E$32,"Diego")+COUNTIFS('S1'!$B$6:$B$32,$A57,'S1'!$E$6:$E$32,"Ambos")+COUNTIFS('S2'!$B$6:$B$23,$A57,'S2'!$E$6:$E$23,"Diego")+COUNTIFS('S2'!$B$6:$B$23,$A57,'S2'!$E$6:$E$23,"Ambos")+COUNTIFS('S3'!$B$6:$B$24,$A57,'S3'!$E$6:$E$24,"Diego")+COUNTIFS('S3'!$B$6:$B$24,$A57,'S3'!$E$6:$E$24,"Ambos")+COUNTIFS('S4'!$B$6:$B$22,$A57,'S4'!$E$6:$E$22,"Diego")+COUNTIFS('S4'!$B$6:$B$22,$A57,'S4'!$E$6:$E$22,"Ambos")+COUNTIFS('S5'!$B$6:$B$20,$A57,'S5'!$E$6:$E$20,"Diego")+COUNTIFS('S5'!$B$6:$B$20,$A57,'S5'!$E$6:$E$20,"Ambos")+COUNTIFS('S6'!$B$6:$B$17,$A57,'S6'!$E$6:$E$17,"Diego")+COUNTIFS('S6'!$B$6:$B$17,$A57,'S6'!$E$6:$E$17,"Ambos")+COUNTIFS('S7'!$B$6:$B$19,$A57,'S7'!$E$6:$E$19,"Diego")+COUNTIFS('S7'!$B$6:$B$19,$A57,'S7'!$E$6:$E$19,"Ambos")+COUNTIFS('S8'!$B$6:$B$23,$A57,'S8'!$E$6:$E$23,"Diego")+COUNTIFS('S8'!$B$6:$B$23,$A57,'S8'!$E$6:$E$23,"Ambos")+COUNTIFS('S9'!$B$6:$B$15,$A57,'S9'!$E$6:$E$15,"Diego")+COUNTIFS('S9'!$B$6:$B$15,$A57,'S9'!$E$6:$E$15,"Ambos")+COUNTIFS('S10'!$B$6:$B$13,$A57,'S10'!$E$6:$E$13,"Diego")+COUNTIFS('S10'!$B$6:$B$13,$A57,'S10'!$E$6:$E$13,"Ambos")+COUNTIFS('Holgura'!$B$6:$B$11,$A57,'Holgura'!$E$6:$E$11,"Diego")+COUNTIFS('Holgura'!$B$6:$B$11,$A57,'Holgura'!$E$6:$E$11,"Ambos")+COUNTIFS('Entrega'!$B$6:$B$9,$A57,'Entrega'!$E$6:$E$9,"Diego")+COUNTIFS('Entrega'!$B$6:$B$9,$A57,'Entrega'!$E$6:$E$9,"Ambos")+COUNTIFS('Defensa'!$B$6:$B$10,$A57,'Defensa'!$E$6:$E$10,"Diego")+COUNTIFS('Defensa'!$B$6:$B$10,$A57,'Defensa'!$E$6:$E$10,"Ambos")</f>
        <v/>
      </c>
    </row>
    <row r="58">
      <c r="A58" s="25" t="n">
        <v>46360</v>
      </c>
      <c r="B58" s="26">
        <f>A58</f>
        <v/>
      </c>
      <c r="C58" s="21">
        <f>IF(WEEKDAY(A58,2)&gt;5,4,2)</f>
        <v/>
      </c>
      <c r="D58" s="21">
        <f>SUMIFS('S1'!$I$6:$I$32,'S1'!$B$6:$B$32,$A58,'S1'!$E$6:$E$32,"Víctor")+SUMIFS('S1'!$I$6:$I$32,'S1'!$B$6:$B$32,$A58,'S1'!$E$6:$E$32,"Ambos")+SUMIFS('S2'!$I$6:$I$23,'S2'!$B$6:$B$23,$A58,'S2'!$E$6:$E$23,"Víctor")+SUMIFS('S2'!$I$6:$I$23,'S2'!$B$6:$B$23,$A58,'S2'!$E$6:$E$23,"Ambos")+SUMIFS('S3'!$I$6:$I$24,'S3'!$B$6:$B$24,$A58,'S3'!$E$6:$E$24,"Víctor")+SUMIFS('S3'!$I$6:$I$24,'S3'!$B$6:$B$24,$A58,'S3'!$E$6:$E$24,"Ambos")+SUMIFS('S4'!$I$6:$I$22,'S4'!$B$6:$B$22,$A58,'S4'!$E$6:$E$22,"Víctor")+SUMIFS('S4'!$I$6:$I$22,'S4'!$B$6:$B$22,$A58,'S4'!$E$6:$E$22,"Ambos")+SUMIFS('S5'!$I$6:$I$20,'S5'!$B$6:$B$20,$A58,'S5'!$E$6:$E$20,"Víctor")+SUMIFS('S5'!$I$6:$I$20,'S5'!$B$6:$B$20,$A58,'S5'!$E$6:$E$20,"Ambos")+SUMIFS('S6'!$I$6:$I$17,'S6'!$B$6:$B$17,$A58,'S6'!$E$6:$E$17,"Víctor")+SUMIFS('S6'!$I$6:$I$17,'S6'!$B$6:$B$17,$A58,'S6'!$E$6:$E$17,"Ambos")+SUMIFS('S7'!$I$6:$I$19,'S7'!$B$6:$B$19,$A58,'S7'!$E$6:$E$19,"Víctor")+SUMIFS('S7'!$I$6:$I$19,'S7'!$B$6:$B$19,$A58,'S7'!$E$6:$E$19,"Ambos")+SUMIFS('S8'!$I$6:$I$23,'S8'!$B$6:$B$23,$A58,'S8'!$E$6:$E$23,"Víctor")+SUMIFS('S8'!$I$6:$I$23,'S8'!$B$6:$B$23,$A58,'S8'!$E$6:$E$23,"Ambos")+SUMIFS('S9'!$I$6:$I$15,'S9'!$B$6:$B$15,$A58,'S9'!$E$6:$E$15,"Víctor")+SUMIFS('S9'!$I$6:$I$15,'S9'!$B$6:$B$15,$A58,'S9'!$E$6:$E$15,"Ambos")+SUMIFS('S10'!$I$6:$I$13,'S10'!$B$6:$B$13,$A58,'S10'!$E$6:$E$13,"Víctor")+SUMIFS('S10'!$I$6:$I$13,'S10'!$B$6:$B$13,$A58,'S10'!$E$6:$E$13,"Ambos")+SUMIFS('Holgura'!$I$6:$I$11,'Holgura'!$B$6:$B$11,$A58,'Holgura'!$E$6:$E$11,"Víctor")+SUMIFS('Holgura'!$I$6:$I$11,'Holgura'!$B$6:$B$11,$A58,'Holgura'!$E$6:$E$11,"Ambos")+SUMIFS('Entrega'!$I$6:$I$9,'Entrega'!$B$6:$B$9,$A58,'Entrega'!$E$6:$E$9,"Víctor")+SUMIFS('Entrega'!$I$6:$I$9,'Entrega'!$B$6:$B$9,$A58,'Entrega'!$E$6:$E$9,"Ambos")+SUMIFS('Defensa'!$I$6:$I$10,'Defensa'!$B$6:$B$10,$A58,'Defensa'!$E$6:$E$10,"Víctor")+SUMIFS('Defensa'!$I$6:$I$10,'Defensa'!$B$6:$B$10,$A58,'Defensa'!$E$6:$E$10,"Ambos")</f>
        <v/>
      </c>
      <c r="E58" s="21">
        <f>SUMIFS('S1'!$I$6:$I$32,'S1'!$B$6:$B$32,$A58,'S1'!$E$6:$E$32,"Diego")+SUMIFS('S1'!$I$6:$I$32,'S1'!$B$6:$B$32,$A58,'S1'!$E$6:$E$32,"Ambos")+SUMIFS('S2'!$I$6:$I$23,'S2'!$B$6:$B$23,$A58,'S2'!$E$6:$E$23,"Diego")+SUMIFS('S2'!$I$6:$I$23,'S2'!$B$6:$B$23,$A58,'S2'!$E$6:$E$23,"Ambos")+SUMIFS('S3'!$I$6:$I$24,'S3'!$B$6:$B$24,$A58,'S3'!$E$6:$E$24,"Diego")+SUMIFS('S3'!$I$6:$I$24,'S3'!$B$6:$B$24,$A58,'S3'!$E$6:$E$24,"Ambos")+SUMIFS('S4'!$I$6:$I$22,'S4'!$B$6:$B$22,$A58,'S4'!$E$6:$E$22,"Diego")+SUMIFS('S4'!$I$6:$I$22,'S4'!$B$6:$B$22,$A58,'S4'!$E$6:$E$22,"Ambos")+SUMIFS('S5'!$I$6:$I$20,'S5'!$B$6:$B$20,$A58,'S5'!$E$6:$E$20,"Diego")+SUMIFS('S5'!$I$6:$I$20,'S5'!$B$6:$B$20,$A58,'S5'!$E$6:$E$20,"Ambos")+SUMIFS('S6'!$I$6:$I$17,'S6'!$B$6:$B$17,$A58,'S6'!$E$6:$E$17,"Diego")+SUMIFS('S6'!$I$6:$I$17,'S6'!$B$6:$B$17,$A58,'S6'!$E$6:$E$17,"Ambos")+SUMIFS('S7'!$I$6:$I$19,'S7'!$B$6:$B$19,$A58,'S7'!$E$6:$E$19,"Diego")+SUMIFS('S7'!$I$6:$I$19,'S7'!$B$6:$B$19,$A58,'S7'!$E$6:$E$19,"Ambos")+SUMIFS('S8'!$I$6:$I$23,'S8'!$B$6:$B$23,$A58,'S8'!$E$6:$E$23,"Diego")+SUMIFS('S8'!$I$6:$I$23,'S8'!$B$6:$B$23,$A58,'S8'!$E$6:$E$23,"Ambos")+SUMIFS('S9'!$I$6:$I$15,'S9'!$B$6:$B$15,$A58,'S9'!$E$6:$E$15,"Diego")+SUMIFS('S9'!$I$6:$I$15,'S9'!$B$6:$B$15,$A58,'S9'!$E$6:$E$15,"Ambos")+SUMIFS('S10'!$I$6:$I$13,'S10'!$B$6:$B$13,$A58,'S10'!$E$6:$E$13,"Diego")+SUMIFS('S10'!$I$6:$I$13,'S10'!$B$6:$B$13,$A58,'S10'!$E$6:$E$13,"Ambos")+SUMIFS('Holgura'!$I$6:$I$11,'Holgura'!$B$6:$B$11,$A58,'Holgura'!$E$6:$E$11,"Diego")+SUMIFS('Holgura'!$I$6:$I$11,'Holgura'!$B$6:$B$11,$A58,'Holgura'!$E$6:$E$11,"Ambos")+SUMIFS('Entrega'!$I$6:$I$9,'Entrega'!$B$6:$B$9,$A58,'Entrega'!$E$6:$E$9,"Diego")+SUMIFS('Entrega'!$I$6:$I$9,'Entrega'!$B$6:$B$9,$A58,'Entrega'!$E$6:$E$9,"Ambos")+SUMIFS('Defensa'!$I$6:$I$10,'Defensa'!$B$6:$B$10,$A58,'Defensa'!$E$6:$E$10,"Diego")+SUMIFS('Defensa'!$I$6:$I$10,'Defensa'!$B$6:$B$10,$A58,'Defensa'!$E$6:$E$10,"Ambos")</f>
        <v/>
      </c>
      <c r="F58" s="21">
        <f>COUNTIFS('S1'!$B$6:$B$32,$A58,'S1'!$E$6:$E$32,"Víctor")+COUNTIFS('S1'!$B$6:$B$32,$A58,'S1'!$E$6:$E$32,"Ambos")+COUNTIFS('S2'!$B$6:$B$23,$A58,'S2'!$E$6:$E$23,"Víctor")+COUNTIFS('S2'!$B$6:$B$23,$A58,'S2'!$E$6:$E$23,"Ambos")+COUNTIFS('S3'!$B$6:$B$24,$A58,'S3'!$E$6:$E$24,"Víctor")+COUNTIFS('S3'!$B$6:$B$24,$A58,'S3'!$E$6:$E$24,"Ambos")+COUNTIFS('S4'!$B$6:$B$22,$A58,'S4'!$E$6:$E$22,"Víctor")+COUNTIFS('S4'!$B$6:$B$22,$A58,'S4'!$E$6:$E$22,"Ambos")+COUNTIFS('S5'!$B$6:$B$20,$A58,'S5'!$E$6:$E$20,"Víctor")+COUNTIFS('S5'!$B$6:$B$20,$A58,'S5'!$E$6:$E$20,"Ambos")+COUNTIFS('S6'!$B$6:$B$17,$A58,'S6'!$E$6:$E$17,"Víctor")+COUNTIFS('S6'!$B$6:$B$17,$A58,'S6'!$E$6:$E$17,"Ambos")+COUNTIFS('S7'!$B$6:$B$19,$A58,'S7'!$E$6:$E$19,"Víctor")+COUNTIFS('S7'!$B$6:$B$19,$A58,'S7'!$E$6:$E$19,"Ambos")+COUNTIFS('S8'!$B$6:$B$23,$A58,'S8'!$E$6:$E$23,"Víctor")+COUNTIFS('S8'!$B$6:$B$23,$A58,'S8'!$E$6:$E$23,"Ambos")+COUNTIFS('S9'!$B$6:$B$15,$A58,'S9'!$E$6:$E$15,"Víctor")+COUNTIFS('S9'!$B$6:$B$15,$A58,'S9'!$E$6:$E$15,"Ambos")+COUNTIFS('S10'!$B$6:$B$13,$A58,'S10'!$E$6:$E$13,"Víctor")+COUNTIFS('S10'!$B$6:$B$13,$A58,'S10'!$E$6:$E$13,"Ambos")+COUNTIFS('Holgura'!$B$6:$B$11,$A58,'Holgura'!$E$6:$E$11,"Víctor")+COUNTIFS('Holgura'!$B$6:$B$11,$A58,'Holgura'!$E$6:$E$11,"Ambos")+COUNTIFS('Entrega'!$B$6:$B$9,$A58,'Entrega'!$E$6:$E$9,"Víctor")+COUNTIFS('Entrega'!$B$6:$B$9,$A58,'Entrega'!$E$6:$E$9,"Ambos")+COUNTIFS('Defensa'!$B$6:$B$10,$A58,'Defensa'!$E$6:$E$10,"Víctor")+COUNTIFS('Defensa'!$B$6:$B$10,$A58,'Defensa'!$E$6:$E$10,"Ambos")</f>
        <v/>
      </c>
      <c r="G58" s="21">
        <f>COUNTIFS('S1'!$B$6:$B$32,$A58,'S1'!$E$6:$E$32,"Diego")+COUNTIFS('S1'!$B$6:$B$32,$A58,'S1'!$E$6:$E$32,"Ambos")+COUNTIFS('S2'!$B$6:$B$23,$A58,'S2'!$E$6:$E$23,"Diego")+COUNTIFS('S2'!$B$6:$B$23,$A58,'S2'!$E$6:$E$23,"Ambos")+COUNTIFS('S3'!$B$6:$B$24,$A58,'S3'!$E$6:$E$24,"Diego")+COUNTIFS('S3'!$B$6:$B$24,$A58,'S3'!$E$6:$E$24,"Ambos")+COUNTIFS('S4'!$B$6:$B$22,$A58,'S4'!$E$6:$E$22,"Diego")+COUNTIFS('S4'!$B$6:$B$22,$A58,'S4'!$E$6:$E$22,"Ambos")+COUNTIFS('S5'!$B$6:$B$20,$A58,'S5'!$E$6:$E$20,"Diego")+COUNTIFS('S5'!$B$6:$B$20,$A58,'S5'!$E$6:$E$20,"Ambos")+COUNTIFS('S6'!$B$6:$B$17,$A58,'S6'!$E$6:$E$17,"Diego")+COUNTIFS('S6'!$B$6:$B$17,$A58,'S6'!$E$6:$E$17,"Ambos")+COUNTIFS('S7'!$B$6:$B$19,$A58,'S7'!$E$6:$E$19,"Diego")+COUNTIFS('S7'!$B$6:$B$19,$A58,'S7'!$E$6:$E$19,"Ambos")+COUNTIFS('S8'!$B$6:$B$23,$A58,'S8'!$E$6:$E$23,"Diego")+COUNTIFS('S8'!$B$6:$B$23,$A58,'S8'!$E$6:$E$23,"Ambos")+COUNTIFS('S9'!$B$6:$B$15,$A58,'S9'!$E$6:$E$15,"Diego")+COUNTIFS('S9'!$B$6:$B$15,$A58,'S9'!$E$6:$E$15,"Ambos")+COUNTIFS('S10'!$B$6:$B$13,$A58,'S10'!$E$6:$E$13,"Diego")+COUNTIFS('S10'!$B$6:$B$13,$A58,'S10'!$E$6:$E$13,"Ambos")+COUNTIFS('Holgura'!$B$6:$B$11,$A58,'Holgura'!$E$6:$E$11,"Diego")+COUNTIFS('Holgura'!$B$6:$B$11,$A58,'Holgura'!$E$6:$E$11,"Ambos")+COUNTIFS('Entrega'!$B$6:$B$9,$A58,'Entrega'!$E$6:$E$9,"Diego")+COUNTIFS('Entrega'!$B$6:$B$9,$A58,'Entrega'!$E$6:$E$9,"Ambos")+COUNTIFS('Defensa'!$B$6:$B$10,$A58,'Defensa'!$E$6:$E$10,"Diego")+COUNTIFS('Defensa'!$B$6:$B$10,$A58,'Defensa'!$E$6:$E$10,"Ambos")</f>
        <v/>
      </c>
    </row>
    <row r="59">
      <c r="A59" s="25" t="n">
        <v>46361</v>
      </c>
      <c r="B59" s="26">
        <f>A59</f>
        <v/>
      </c>
      <c r="C59" s="21">
        <f>IF(WEEKDAY(A59,2)&gt;5,4,2)</f>
        <v/>
      </c>
      <c r="D59" s="21">
        <f>SUMIFS('S1'!$I$6:$I$32,'S1'!$B$6:$B$32,$A59,'S1'!$E$6:$E$32,"Víctor")+SUMIFS('S1'!$I$6:$I$32,'S1'!$B$6:$B$32,$A59,'S1'!$E$6:$E$32,"Ambos")+SUMIFS('S2'!$I$6:$I$23,'S2'!$B$6:$B$23,$A59,'S2'!$E$6:$E$23,"Víctor")+SUMIFS('S2'!$I$6:$I$23,'S2'!$B$6:$B$23,$A59,'S2'!$E$6:$E$23,"Ambos")+SUMIFS('S3'!$I$6:$I$24,'S3'!$B$6:$B$24,$A59,'S3'!$E$6:$E$24,"Víctor")+SUMIFS('S3'!$I$6:$I$24,'S3'!$B$6:$B$24,$A59,'S3'!$E$6:$E$24,"Ambos")+SUMIFS('S4'!$I$6:$I$22,'S4'!$B$6:$B$22,$A59,'S4'!$E$6:$E$22,"Víctor")+SUMIFS('S4'!$I$6:$I$22,'S4'!$B$6:$B$22,$A59,'S4'!$E$6:$E$22,"Ambos")+SUMIFS('S5'!$I$6:$I$20,'S5'!$B$6:$B$20,$A59,'S5'!$E$6:$E$20,"Víctor")+SUMIFS('S5'!$I$6:$I$20,'S5'!$B$6:$B$20,$A59,'S5'!$E$6:$E$20,"Ambos")+SUMIFS('S6'!$I$6:$I$17,'S6'!$B$6:$B$17,$A59,'S6'!$E$6:$E$17,"Víctor")+SUMIFS('S6'!$I$6:$I$17,'S6'!$B$6:$B$17,$A59,'S6'!$E$6:$E$17,"Ambos")+SUMIFS('S7'!$I$6:$I$19,'S7'!$B$6:$B$19,$A59,'S7'!$E$6:$E$19,"Víctor")+SUMIFS('S7'!$I$6:$I$19,'S7'!$B$6:$B$19,$A59,'S7'!$E$6:$E$19,"Ambos")+SUMIFS('S8'!$I$6:$I$23,'S8'!$B$6:$B$23,$A59,'S8'!$E$6:$E$23,"Víctor")+SUMIFS('S8'!$I$6:$I$23,'S8'!$B$6:$B$23,$A59,'S8'!$E$6:$E$23,"Ambos")+SUMIFS('S9'!$I$6:$I$15,'S9'!$B$6:$B$15,$A59,'S9'!$E$6:$E$15,"Víctor")+SUMIFS('S9'!$I$6:$I$15,'S9'!$B$6:$B$15,$A59,'S9'!$E$6:$E$15,"Ambos")+SUMIFS('S10'!$I$6:$I$13,'S10'!$B$6:$B$13,$A59,'S10'!$E$6:$E$13,"Víctor")+SUMIFS('S10'!$I$6:$I$13,'S10'!$B$6:$B$13,$A59,'S10'!$E$6:$E$13,"Ambos")+SUMIFS('Holgura'!$I$6:$I$11,'Holgura'!$B$6:$B$11,$A59,'Holgura'!$E$6:$E$11,"Víctor")+SUMIFS('Holgura'!$I$6:$I$11,'Holgura'!$B$6:$B$11,$A59,'Holgura'!$E$6:$E$11,"Ambos")+SUMIFS('Entrega'!$I$6:$I$9,'Entrega'!$B$6:$B$9,$A59,'Entrega'!$E$6:$E$9,"Víctor")+SUMIFS('Entrega'!$I$6:$I$9,'Entrega'!$B$6:$B$9,$A59,'Entrega'!$E$6:$E$9,"Ambos")+SUMIFS('Defensa'!$I$6:$I$10,'Defensa'!$B$6:$B$10,$A59,'Defensa'!$E$6:$E$10,"Víctor")+SUMIFS('Defensa'!$I$6:$I$10,'Defensa'!$B$6:$B$10,$A59,'Defensa'!$E$6:$E$10,"Ambos")</f>
        <v/>
      </c>
      <c r="E59" s="21">
        <f>SUMIFS('S1'!$I$6:$I$32,'S1'!$B$6:$B$32,$A59,'S1'!$E$6:$E$32,"Diego")+SUMIFS('S1'!$I$6:$I$32,'S1'!$B$6:$B$32,$A59,'S1'!$E$6:$E$32,"Ambos")+SUMIFS('S2'!$I$6:$I$23,'S2'!$B$6:$B$23,$A59,'S2'!$E$6:$E$23,"Diego")+SUMIFS('S2'!$I$6:$I$23,'S2'!$B$6:$B$23,$A59,'S2'!$E$6:$E$23,"Ambos")+SUMIFS('S3'!$I$6:$I$24,'S3'!$B$6:$B$24,$A59,'S3'!$E$6:$E$24,"Diego")+SUMIFS('S3'!$I$6:$I$24,'S3'!$B$6:$B$24,$A59,'S3'!$E$6:$E$24,"Ambos")+SUMIFS('S4'!$I$6:$I$22,'S4'!$B$6:$B$22,$A59,'S4'!$E$6:$E$22,"Diego")+SUMIFS('S4'!$I$6:$I$22,'S4'!$B$6:$B$22,$A59,'S4'!$E$6:$E$22,"Ambos")+SUMIFS('S5'!$I$6:$I$20,'S5'!$B$6:$B$20,$A59,'S5'!$E$6:$E$20,"Diego")+SUMIFS('S5'!$I$6:$I$20,'S5'!$B$6:$B$20,$A59,'S5'!$E$6:$E$20,"Ambos")+SUMIFS('S6'!$I$6:$I$17,'S6'!$B$6:$B$17,$A59,'S6'!$E$6:$E$17,"Diego")+SUMIFS('S6'!$I$6:$I$17,'S6'!$B$6:$B$17,$A59,'S6'!$E$6:$E$17,"Ambos")+SUMIFS('S7'!$I$6:$I$19,'S7'!$B$6:$B$19,$A59,'S7'!$E$6:$E$19,"Diego")+SUMIFS('S7'!$I$6:$I$19,'S7'!$B$6:$B$19,$A59,'S7'!$E$6:$E$19,"Ambos")+SUMIFS('S8'!$I$6:$I$23,'S8'!$B$6:$B$23,$A59,'S8'!$E$6:$E$23,"Diego")+SUMIFS('S8'!$I$6:$I$23,'S8'!$B$6:$B$23,$A59,'S8'!$E$6:$E$23,"Ambos")+SUMIFS('S9'!$I$6:$I$15,'S9'!$B$6:$B$15,$A59,'S9'!$E$6:$E$15,"Diego")+SUMIFS('S9'!$I$6:$I$15,'S9'!$B$6:$B$15,$A59,'S9'!$E$6:$E$15,"Ambos")+SUMIFS('S10'!$I$6:$I$13,'S10'!$B$6:$B$13,$A59,'S10'!$E$6:$E$13,"Diego")+SUMIFS('S10'!$I$6:$I$13,'S10'!$B$6:$B$13,$A59,'S10'!$E$6:$E$13,"Ambos")+SUMIFS('Holgura'!$I$6:$I$11,'Holgura'!$B$6:$B$11,$A59,'Holgura'!$E$6:$E$11,"Diego")+SUMIFS('Holgura'!$I$6:$I$11,'Holgura'!$B$6:$B$11,$A59,'Holgura'!$E$6:$E$11,"Ambos")+SUMIFS('Entrega'!$I$6:$I$9,'Entrega'!$B$6:$B$9,$A59,'Entrega'!$E$6:$E$9,"Diego")+SUMIFS('Entrega'!$I$6:$I$9,'Entrega'!$B$6:$B$9,$A59,'Entrega'!$E$6:$E$9,"Ambos")+SUMIFS('Defensa'!$I$6:$I$10,'Defensa'!$B$6:$B$10,$A59,'Defensa'!$E$6:$E$10,"Diego")+SUMIFS('Defensa'!$I$6:$I$10,'Defensa'!$B$6:$B$10,$A59,'Defensa'!$E$6:$E$10,"Ambos")</f>
        <v/>
      </c>
      <c r="F59" s="21">
        <f>COUNTIFS('S1'!$B$6:$B$32,$A59,'S1'!$E$6:$E$32,"Víctor")+COUNTIFS('S1'!$B$6:$B$32,$A59,'S1'!$E$6:$E$32,"Ambos")+COUNTIFS('S2'!$B$6:$B$23,$A59,'S2'!$E$6:$E$23,"Víctor")+COUNTIFS('S2'!$B$6:$B$23,$A59,'S2'!$E$6:$E$23,"Ambos")+COUNTIFS('S3'!$B$6:$B$24,$A59,'S3'!$E$6:$E$24,"Víctor")+COUNTIFS('S3'!$B$6:$B$24,$A59,'S3'!$E$6:$E$24,"Ambos")+COUNTIFS('S4'!$B$6:$B$22,$A59,'S4'!$E$6:$E$22,"Víctor")+COUNTIFS('S4'!$B$6:$B$22,$A59,'S4'!$E$6:$E$22,"Ambos")+COUNTIFS('S5'!$B$6:$B$20,$A59,'S5'!$E$6:$E$20,"Víctor")+COUNTIFS('S5'!$B$6:$B$20,$A59,'S5'!$E$6:$E$20,"Ambos")+COUNTIFS('S6'!$B$6:$B$17,$A59,'S6'!$E$6:$E$17,"Víctor")+COUNTIFS('S6'!$B$6:$B$17,$A59,'S6'!$E$6:$E$17,"Ambos")+COUNTIFS('S7'!$B$6:$B$19,$A59,'S7'!$E$6:$E$19,"Víctor")+COUNTIFS('S7'!$B$6:$B$19,$A59,'S7'!$E$6:$E$19,"Ambos")+COUNTIFS('S8'!$B$6:$B$23,$A59,'S8'!$E$6:$E$23,"Víctor")+COUNTIFS('S8'!$B$6:$B$23,$A59,'S8'!$E$6:$E$23,"Ambos")+COUNTIFS('S9'!$B$6:$B$15,$A59,'S9'!$E$6:$E$15,"Víctor")+COUNTIFS('S9'!$B$6:$B$15,$A59,'S9'!$E$6:$E$15,"Ambos")+COUNTIFS('S10'!$B$6:$B$13,$A59,'S10'!$E$6:$E$13,"Víctor")+COUNTIFS('S10'!$B$6:$B$13,$A59,'S10'!$E$6:$E$13,"Ambos")+COUNTIFS('Holgura'!$B$6:$B$11,$A59,'Holgura'!$E$6:$E$11,"Víctor")+COUNTIFS('Holgura'!$B$6:$B$11,$A59,'Holgura'!$E$6:$E$11,"Ambos")+COUNTIFS('Entrega'!$B$6:$B$9,$A59,'Entrega'!$E$6:$E$9,"Víctor")+COUNTIFS('Entrega'!$B$6:$B$9,$A59,'Entrega'!$E$6:$E$9,"Ambos")+COUNTIFS('Defensa'!$B$6:$B$10,$A59,'Defensa'!$E$6:$E$10,"Víctor")+COUNTIFS('Defensa'!$B$6:$B$10,$A59,'Defensa'!$E$6:$E$10,"Ambos")</f>
        <v/>
      </c>
      <c r="G59" s="21">
        <f>COUNTIFS('S1'!$B$6:$B$32,$A59,'S1'!$E$6:$E$32,"Diego")+COUNTIFS('S1'!$B$6:$B$32,$A59,'S1'!$E$6:$E$32,"Ambos")+COUNTIFS('S2'!$B$6:$B$23,$A59,'S2'!$E$6:$E$23,"Diego")+COUNTIFS('S2'!$B$6:$B$23,$A59,'S2'!$E$6:$E$23,"Ambos")+COUNTIFS('S3'!$B$6:$B$24,$A59,'S3'!$E$6:$E$24,"Diego")+COUNTIFS('S3'!$B$6:$B$24,$A59,'S3'!$E$6:$E$24,"Ambos")+COUNTIFS('S4'!$B$6:$B$22,$A59,'S4'!$E$6:$E$22,"Diego")+COUNTIFS('S4'!$B$6:$B$22,$A59,'S4'!$E$6:$E$22,"Ambos")+COUNTIFS('S5'!$B$6:$B$20,$A59,'S5'!$E$6:$E$20,"Diego")+COUNTIFS('S5'!$B$6:$B$20,$A59,'S5'!$E$6:$E$20,"Ambos")+COUNTIFS('S6'!$B$6:$B$17,$A59,'S6'!$E$6:$E$17,"Diego")+COUNTIFS('S6'!$B$6:$B$17,$A59,'S6'!$E$6:$E$17,"Ambos")+COUNTIFS('S7'!$B$6:$B$19,$A59,'S7'!$E$6:$E$19,"Diego")+COUNTIFS('S7'!$B$6:$B$19,$A59,'S7'!$E$6:$E$19,"Ambos")+COUNTIFS('S8'!$B$6:$B$23,$A59,'S8'!$E$6:$E$23,"Diego")+COUNTIFS('S8'!$B$6:$B$23,$A59,'S8'!$E$6:$E$23,"Ambos")+COUNTIFS('S9'!$B$6:$B$15,$A59,'S9'!$E$6:$E$15,"Diego")+COUNTIFS('S9'!$B$6:$B$15,$A59,'S9'!$E$6:$E$15,"Ambos")+COUNTIFS('S10'!$B$6:$B$13,$A59,'S10'!$E$6:$E$13,"Diego")+COUNTIFS('S10'!$B$6:$B$13,$A59,'S10'!$E$6:$E$13,"Ambos")+COUNTIFS('Holgura'!$B$6:$B$11,$A59,'Holgura'!$E$6:$E$11,"Diego")+COUNTIFS('Holgura'!$B$6:$B$11,$A59,'Holgura'!$E$6:$E$11,"Ambos")+COUNTIFS('Entrega'!$B$6:$B$9,$A59,'Entrega'!$E$6:$E$9,"Diego")+COUNTIFS('Entrega'!$B$6:$B$9,$A59,'Entrega'!$E$6:$E$9,"Ambos")+COUNTIFS('Defensa'!$B$6:$B$10,$A59,'Defensa'!$E$6:$E$10,"Diego")+COUNTIFS('Defensa'!$B$6:$B$10,$A59,'Defensa'!$E$6:$E$10,"Ambos")</f>
        <v/>
      </c>
    </row>
    <row r="60">
      <c r="A60" s="25" t="n">
        <v>46362</v>
      </c>
      <c r="B60" s="26">
        <f>A60</f>
        <v/>
      </c>
      <c r="C60" s="21">
        <f>IF(WEEKDAY(A60,2)&gt;5,4,2)</f>
        <v/>
      </c>
      <c r="D60" s="21">
        <f>SUMIFS('S1'!$I$6:$I$32,'S1'!$B$6:$B$32,$A60,'S1'!$E$6:$E$32,"Víctor")+SUMIFS('S1'!$I$6:$I$32,'S1'!$B$6:$B$32,$A60,'S1'!$E$6:$E$32,"Ambos")+SUMIFS('S2'!$I$6:$I$23,'S2'!$B$6:$B$23,$A60,'S2'!$E$6:$E$23,"Víctor")+SUMIFS('S2'!$I$6:$I$23,'S2'!$B$6:$B$23,$A60,'S2'!$E$6:$E$23,"Ambos")+SUMIFS('S3'!$I$6:$I$24,'S3'!$B$6:$B$24,$A60,'S3'!$E$6:$E$24,"Víctor")+SUMIFS('S3'!$I$6:$I$24,'S3'!$B$6:$B$24,$A60,'S3'!$E$6:$E$24,"Ambos")+SUMIFS('S4'!$I$6:$I$22,'S4'!$B$6:$B$22,$A60,'S4'!$E$6:$E$22,"Víctor")+SUMIFS('S4'!$I$6:$I$22,'S4'!$B$6:$B$22,$A60,'S4'!$E$6:$E$22,"Ambos")+SUMIFS('S5'!$I$6:$I$20,'S5'!$B$6:$B$20,$A60,'S5'!$E$6:$E$20,"Víctor")+SUMIFS('S5'!$I$6:$I$20,'S5'!$B$6:$B$20,$A60,'S5'!$E$6:$E$20,"Ambos")+SUMIFS('S6'!$I$6:$I$17,'S6'!$B$6:$B$17,$A60,'S6'!$E$6:$E$17,"Víctor")+SUMIFS('S6'!$I$6:$I$17,'S6'!$B$6:$B$17,$A60,'S6'!$E$6:$E$17,"Ambos")+SUMIFS('S7'!$I$6:$I$19,'S7'!$B$6:$B$19,$A60,'S7'!$E$6:$E$19,"Víctor")+SUMIFS('S7'!$I$6:$I$19,'S7'!$B$6:$B$19,$A60,'S7'!$E$6:$E$19,"Ambos")+SUMIFS('S8'!$I$6:$I$23,'S8'!$B$6:$B$23,$A60,'S8'!$E$6:$E$23,"Víctor")+SUMIFS('S8'!$I$6:$I$23,'S8'!$B$6:$B$23,$A60,'S8'!$E$6:$E$23,"Ambos")+SUMIFS('S9'!$I$6:$I$15,'S9'!$B$6:$B$15,$A60,'S9'!$E$6:$E$15,"Víctor")+SUMIFS('S9'!$I$6:$I$15,'S9'!$B$6:$B$15,$A60,'S9'!$E$6:$E$15,"Ambos")+SUMIFS('S10'!$I$6:$I$13,'S10'!$B$6:$B$13,$A60,'S10'!$E$6:$E$13,"Víctor")+SUMIFS('S10'!$I$6:$I$13,'S10'!$B$6:$B$13,$A60,'S10'!$E$6:$E$13,"Ambos")+SUMIFS('Holgura'!$I$6:$I$11,'Holgura'!$B$6:$B$11,$A60,'Holgura'!$E$6:$E$11,"Víctor")+SUMIFS('Holgura'!$I$6:$I$11,'Holgura'!$B$6:$B$11,$A60,'Holgura'!$E$6:$E$11,"Ambos")+SUMIFS('Entrega'!$I$6:$I$9,'Entrega'!$B$6:$B$9,$A60,'Entrega'!$E$6:$E$9,"Víctor")+SUMIFS('Entrega'!$I$6:$I$9,'Entrega'!$B$6:$B$9,$A60,'Entrega'!$E$6:$E$9,"Ambos")+SUMIFS('Defensa'!$I$6:$I$10,'Defensa'!$B$6:$B$10,$A60,'Defensa'!$E$6:$E$10,"Víctor")+SUMIFS('Defensa'!$I$6:$I$10,'Defensa'!$B$6:$B$10,$A60,'Defensa'!$E$6:$E$10,"Ambos")</f>
        <v/>
      </c>
      <c r="E60" s="21">
        <f>SUMIFS('S1'!$I$6:$I$32,'S1'!$B$6:$B$32,$A60,'S1'!$E$6:$E$32,"Diego")+SUMIFS('S1'!$I$6:$I$32,'S1'!$B$6:$B$32,$A60,'S1'!$E$6:$E$32,"Ambos")+SUMIFS('S2'!$I$6:$I$23,'S2'!$B$6:$B$23,$A60,'S2'!$E$6:$E$23,"Diego")+SUMIFS('S2'!$I$6:$I$23,'S2'!$B$6:$B$23,$A60,'S2'!$E$6:$E$23,"Ambos")+SUMIFS('S3'!$I$6:$I$24,'S3'!$B$6:$B$24,$A60,'S3'!$E$6:$E$24,"Diego")+SUMIFS('S3'!$I$6:$I$24,'S3'!$B$6:$B$24,$A60,'S3'!$E$6:$E$24,"Ambos")+SUMIFS('S4'!$I$6:$I$22,'S4'!$B$6:$B$22,$A60,'S4'!$E$6:$E$22,"Diego")+SUMIFS('S4'!$I$6:$I$22,'S4'!$B$6:$B$22,$A60,'S4'!$E$6:$E$22,"Ambos")+SUMIFS('S5'!$I$6:$I$20,'S5'!$B$6:$B$20,$A60,'S5'!$E$6:$E$20,"Diego")+SUMIFS('S5'!$I$6:$I$20,'S5'!$B$6:$B$20,$A60,'S5'!$E$6:$E$20,"Ambos")+SUMIFS('S6'!$I$6:$I$17,'S6'!$B$6:$B$17,$A60,'S6'!$E$6:$E$17,"Diego")+SUMIFS('S6'!$I$6:$I$17,'S6'!$B$6:$B$17,$A60,'S6'!$E$6:$E$17,"Ambos")+SUMIFS('S7'!$I$6:$I$19,'S7'!$B$6:$B$19,$A60,'S7'!$E$6:$E$19,"Diego")+SUMIFS('S7'!$I$6:$I$19,'S7'!$B$6:$B$19,$A60,'S7'!$E$6:$E$19,"Ambos")+SUMIFS('S8'!$I$6:$I$23,'S8'!$B$6:$B$23,$A60,'S8'!$E$6:$E$23,"Diego")+SUMIFS('S8'!$I$6:$I$23,'S8'!$B$6:$B$23,$A60,'S8'!$E$6:$E$23,"Ambos")+SUMIFS('S9'!$I$6:$I$15,'S9'!$B$6:$B$15,$A60,'S9'!$E$6:$E$15,"Diego")+SUMIFS('S9'!$I$6:$I$15,'S9'!$B$6:$B$15,$A60,'S9'!$E$6:$E$15,"Ambos")+SUMIFS('S10'!$I$6:$I$13,'S10'!$B$6:$B$13,$A60,'S10'!$E$6:$E$13,"Diego")+SUMIFS('S10'!$I$6:$I$13,'S10'!$B$6:$B$13,$A60,'S10'!$E$6:$E$13,"Ambos")+SUMIFS('Holgura'!$I$6:$I$11,'Holgura'!$B$6:$B$11,$A60,'Holgura'!$E$6:$E$11,"Diego")+SUMIFS('Holgura'!$I$6:$I$11,'Holgura'!$B$6:$B$11,$A60,'Holgura'!$E$6:$E$11,"Ambos")+SUMIFS('Entrega'!$I$6:$I$9,'Entrega'!$B$6:$B$9,$A60,'Entrega'!$E$6:$E$9,"Diego")+SUMIFS('Entrega'!$I$6:$I$9,'Entrega'!$B$6:$B$9,$A60,'Entrega'!$E$6:$E$9,"Ambos")+SUMIFS('Defensa'!$I$6:$I$10,'Defensa'!$B$6:$B$10,$A60,'Defensa'!$E$6:$E$10,"Diego")+SUMIFS('Defensa'!$I$6:$I$10,'Defensa'!$B$6:$B$10,$A60,'Defensa'!$E$6:$E$10,"Ambos")</f>
        <v/>
      </c>
      <c r="F60" s="21">
        <f>COUNTIFS('S1'!$B$6:$B$32,$A60,'S1'!$E$6:$E$32,"Víctor")+COUNTIFS('S1'!$B$6:$B$32,$A60,'S1'!$E$6:$E$32,"Ambos")+COUNTIFS('S2'!$B$6:$B$23,$A60,'S2'!$E$6:$E$23,"Víctor")+COUNTIFS('S2'!$B$6:$B$23,$A60,'S2'!$E$6:$E$23,"Ambos")+COUNTIFS('S3'!$B$6:$B$24,$A60,'S3'!$E$6:$E$24,"Víctor")+COUNTIFS('S3'!$B$6:$B$24,$A60,'S3'!$E$6:$E$24,"Ambos")+COUNTIFS('S4'!$B$6:$B$22,$A60,'S4'!$E$6:$E$22,"Víctor")+COUNTIFS('S4'!$B$6:$B$22,$A60,'S4'!$E$6:$E$22,"Ambos")+COUNTIFS('S5'!$B$6:$B$20,$A60,'S5'!$E$6:$E$20,"Víctor")+COUNTIFS('S5'!$B$6:$B$20,$A60,'S5'!$E$6:$E$20,"Ambos")+COUNTIFS('S6'!$B$6:$B$17,$A60,'S6'!$E$6:$E$17,"Víctor")+COUNTIFS('S6'!$B$6:$B$17,$A60,'S6'!$E$6:$E$17,"Ambos")+COUNTIFS('S7'!$B$6:$B$19,$A60,'S7'!$E$6:$E$19,"Víctor")+COUNTIFS('S7'!$B$6:$B$19,$A60,'S7'!$E$6:$E$19,"Ambos")+COUNTIFS('S8'!$B$6:$B$23,$A60,'S8'!$E$6:$E$23,"Víctor")+COUNTIFS('S8'!$B$6:$B$23,$A60,'S8'!$E$6:$E$23,"Ambos")+COUNTIFS('S9'!$B$6:$B$15,$A60,'S9'!$E$6:$E$15,"Víctor")+COUNTIFS('S9'!$B$6:$B$15,$A60,'S9'!$E$6:$E$15,"Ambos")+COUNTIFS('S10'!$B$6:$B$13,$A60,'S10'!$E$6:$E$13,"Víctor")+COUNTIFS('S10'!$B$6:$B$13,$A60,'S10'!$E$6:$E$13,"Ambos")+COUNTIFS('Holgura'!$B$6:$B$11,$A60,'Holgura'!$E$6:$E$11,"Víctor")+COUNTIFS('Holgura'!$B$6:$B$11,$A60,'Holgura'!$E$6:$E$11,"Ambos")+COUNTIFS('Entrega'!$B$6:$B$9,$A60,'Entrega'!$E$6:$E$9,"Víctor")+COUNTIFS('Entrega'!$B$6:$B$9,$A60,'Entrega'!$E$6:$E$9,"Ambos")+COUNTIFS('Defensa'!$B$6:$B$10,$A60,'Defensa'!$E$6:$E$10,"Víctor")+COUNTIFS('Defensa'!$B$6:$B$10,$A60,'Defensa'!$E$6:$E$10,"Ambos")</f>
        <v/>
      </c>
      <c r="G60" s="21">
        <f>COUNTIFS('S1'!$B$6:$B$32,$A60,'S1'!$E$6:$E$32,"Diego")+COUNTIFS('S1'!$B$6:$B$32,$A60,'S1'!$E$6:$E$32,"Ambos")+COUNTIFS('S2'!$B$6:$B$23,$A60,'S2'!$E$6:$E$23,"Diego")+COUNTIFS('S2'!$B$6:$B$23,$A60,'S2'!$E$6:$E$23,"Ambos")+COUNTIFS('S3'!$B$6:$B$24,$A60,'S3'!$E$6:$E$24,"Diego")+COUNTIFS('S3'!$B$6:$B$24,$A60,'S3'!$E$6:$E$24,"Ambos")+COUNTIFS('S4'!$B$6:$B$22,$A60,'S4'!$E$6:$E$22,"Diego")+COUNTIFS('S4'!$B$6:$B$22,$A60,'S4'!$E$6:$E$22,"Ambos")+COUNTIFS('S5'!$B$6:$B$20,$A60,'S5'!$E$6:$E$20,"Diego")+COUNTIFS('S5'!$B$6:$B$20,$A60,'S5'!$E$6:$E$20,"Ambos")+COUNTIFS('S6'!$B$6:$B$17,$A60,'S6'!$E$6:$E$17,"Diego")+COUNTIFS('S6'!$B$6:$B$17,$A60,'S6'!$E$6:$E$17,"Ambos")+COUNTIFS('S7'!$B$6:$B$19,$A60,'S7'!$E$6:$E$19,"Diego")+COUNTIFS('S7'!$B$6:$B$19,$A60,'S7'!$E$6:$E$19,"Ambos")+COUNTIFS('S8'!$B$6:$B$23,$A60,'S8'!$E$6:$E$23,"Diego")+COUNTIFS('S8'!$B$6:$B$23,$A60,'S8'!$E$6:$E$23,"Ambos")+COUNTIFS('S9'!$B$6:$B$15,$A60,'S9'!$E$6:$E$15,"Diego")+COUNTIFS('S9'!$B$6:$B$15,$A60,'S9'!$E$6:$E$15,"Ambos")+COUNTIFS('S10'!$B$6:$B$13,$A60,'S10'!$E$6:$E$13,"Diego")+COUNTIFS('S10'!$B$6:$B$13,$A60,'S10'!$E$6:$E$13,"Ambos")+COUNTIFS('Holgura'!$B$6:$B$11,$A60,'Holgura'!$E$6:$E$11,"Diego")+COUNTIFS('Holgura'!$B$6:$B$11,$A60,'Holgura'!$E$6:$E$11,"Ambos")+COUNTIFS('Entrega'!$B$6:$B$9,$A60,'Entrega'!$E$6:$E$9,"Diego")+COUNTIFS('Entrega'!$B$6:$B$9,$A60,'Entrega'!$E$6:$E$9,"Ambos")+COUNTIFS('Defensa'!$B$6:$B$10,$A60,'Defensa'!$E$6:$E$10,"Diego")+COUNTIFS('Defensa'!$B$6:$B$10,$A60,'Defensa'!$E$6:$E$10,"Ambos")</f>
        <v/>
      </c>
    </row>
    <row r="61">
      <c r="A61" s="25" t="n">
        <v>46363</v>
      </c>
      <c r="B61" s="26">
        <f>A61</f>
        <v/>
      </c>
      <c r="C61" s="21">
        <f>IF(WEEKDAY(A61,2)&gt;5,4,2)</f>
        <v/>
      </c>
      <c r="D61" s="21">
        <f>SUMIFS('S1'!$I$6:$I$32,'S1'!$B$6:$B$32,$A61,'S1'!$E$6:$E$32,"Víctor")+SUMIFS('S1'!$I$6:$I$32,'S1'!$B$6:$B$32,$A61,'S1'!$E$6:$E$32,"Ambos")+SUMIFS('S2'!$I$6:$I$23,'S2'!$B$6:$B$23,$A61,'S2'!$E$6:$E$23,"Víctor")+SUMIFS('S2'!$I$6:$I$23,'S2'!$B$6:$B$23,$A61,'S2'!$E$6:$E$23,"Ambos")+SUMIFS('S3'!$I$6:$I$24,'S3'!$B$6:$B$24,$A61,'S3'!$E$6:$E$24,"Víctor")+SUMIFS('S3'!$I$6:$I$24,'S3'!$B$6:$B$24,$A61,'S3'!$E$6:$E$24,"Ambos")+SUMIFS('S4'!$I$6:$I$22,'S4'!$B$6:$B$22,$A61,'S4'!$E$6:$E$22,"Víctor")+SUMIFS('S4'!$I$6:$I$22,'S4'!$B$6:$B$22,$A61,'S4'!$E$6:$E$22,"Ambos")+SUMIFS('S5'!$I$6:$I$20,'S5'!$B$6:$B$20,$A61,'S5'!$E$6:$E$20,"Víctor")+SUMIFS('S5'!$I$6:$I$20,'S5'!$B$6:$B$20,$A61,'S5'!$E$6:$E$20,"Ambos")+SUMIFS('S6'!$I$6:$I$17,'S6'!$B$6:$B$17,$A61,'S6'!$E$6:$E$17,"Víctor")+SUMIFS('S6'!$I$6:$I$17,'S6'!$B$6:$B$17,$A61,'S6'!$E$6:$E$17,"Ambos")+SUMIFS('S7'!$I$6:$I$19,'S7'!$B$6:$B$19,$A61,'S7'!$E$6:$E$19,"Víctor")+SUMIFS('S7'!$I$6:$I$19,'S7'!$B$6:$B$19,$A61,'S7'!$E$6:$E$19,"Ambos")+SUMIFS('S8'!$I$6:$I$23,'S8'!$B$6:$B$23,$A61,'S8'!$E$6:$E$23,"Víctor")+SUMIFS('S8'!$I$6:$I$23,'S8'!$B$6:$B$23,$A61,'S8'!$E$6:$E$23,"Ambos")+SUMIFS('S9'!$I$6:$I$15,'S9'!$B$6:$B$15,$A61,'S9'!$E$6:$E$15,"Víctor")+SUMIFS('S9'!$I$6:$I$15,'S9'!$B$6:$B$15,$A61,'S9'!$E$6:$E$15,"Ambos")+SUMIFS('S10'!$I$6:$I$13,'S10'!$B$6:$B$13,$A61,'S10'!$E$6:$E$13,"Víctor")+SUMIFS('S10'!$I$6:$I$13,'S10'!$B$6:$B$13,$A61,'S10'!$E$6:$E$13,"Ambos")+SUMIFS('Holgura'!$I$6:$I$11,'Holgura'!$B$6:$B$11,$A61,'Holgura'!$E$6:$E$11,"Víctor")+SUMIFS('Holgura'!$I$6:$I$11,'Holgura'!$B$6:$B$11,$A61,'Holgura'!$E$6:$E$11,"Ambos")+SUMIFS('Entrega'!$I$6:$I$9,'Entrega'!$B$6:$B$9,$A61,'Entrega'!$E$6:$E$9,"Víctor")+SUMIFS('Entrega'!$I$6:$I$9,'Entrega'!$B$6:$B$9,$A61,'Entrega'!$E$6:$E$9,"Ambos")+SUMIFS('Defensa'!$I$6:$I$10,'Defensa'!$B$6:$B$10,$A61,'Defensa'!$E$6:$E$10,"Víctor")+SUMIFS('Defensa'!$I$6:$I$10,'Defensa'!$B$6:$B$10,$A61,'Defensa'!$E$6:$E$10,"Ambos")</f>
        <v/>
      </c>
      <c r="E61" s="21">
        <f>SUMIFS('S1'!$I$6:$I$32,'S1'!$B$6:$B$32,$A61,'S1'!$E$6:$E$32,"Diego")+SUMIFS('S1'!$I$6:$I$32,'S1'!$B$6:$B$32,$A61,'S1'!$E$6:$E$32,"Ambos")+SUMIFS('S2'!$I$6:$I$23,'S2'!$B$6:$B$23,$A61,'S2'!$E$6:$E$23,"Diego")+SUMIFS('S2'!$I$6:$I$23,'S2'!$B$6:$B$23,$A61,'S2'!$E$6:$E$23,"Ambos")+SUMIFS('S3'!$I$6:$I$24,'S3'!$B$6:$B$24,$A61,'S3'!$E$6:$E$24,"Diego")+SUMIFS('S3'!$I$6:$I$24,'S3'!$B$6:$B$24,$A61,'S3'!$E$6:$E$24,"Ambos")+SUMIFS('S4'!$I$6:$I$22,'S4'!$B$6:$B$22,$A61,'S4'!$E$6:$E$22,"Diego")+SUMIFS('S4'!$I$6:$I$22,'S4'!$B$6:$B$22,$A61,'S4'!$E$6:$E$22,"Ambos")+SUMIFS('S5'!$I$6:$I$20,'S5'!$B$6:$B$20,$A61,'S5'!$E$6:$E$20,"Diego")+SUMIFS('S5'!$I$6:$I$20,'S5'!$B$6:$B$20,$A61,'S5'!$E$6:$E$20,"Ambos")+SUMIFS('S6'!$I$6:$I$17,'S6'!$B$6:$B$17,$A61,'S6'!$E$6:$E$17,"Diego")+SUMIFS('S6'!$I$6:$I$17,'S6'!$B$6:$B$17,$A61,'S6'!$E$6:$E$17,"Ambos")+SUMIFS('S7'!$I$6:$I$19,'S7'!$B$6:$B$19,$A61,'S7'!$E$6:$E$19,"Diego")+SUMIFS('S7'!$I$6:$I$19,'S7'!$B$6:$B$19,$A61,'S7'!$E$6:$E$19,"Ambos")+SUMIFS('S8'!$I$6:$I$23,'S8'!$B$6:$B$23,$A61,'S8'!$E$6:$E$23,"Diego")+SUMIFS('S8'!$I$6:$I$23,'S8'!$B$6:$B$23,$A61,'S8'!$E$6:$E$23,"Ambos")+SUMIFS('S9'!$I$6:$I$15,'S9'!$B$6:$B$15,$A61,'S9'!$E$6:$E$15,"Diego")+SUMIFS('S9'!$I$6:$I$15,'S9'!$B$6:$B$15,$A61,'S9'!$E$6:$E$15,"Ambos")+SUMIFS('S10'!$I$6:$I$13,'S10'!$B$6:$B$13,$A61,'S10'!$E$6:$E$13,"Diego")+SUMIFS('S10'!$I$6:$I$13,'S10'!$B$6:$B$13,$A61,'S10'!$E$6:$E$13,"Ambos")+SUMIFS('Holgura'!$I$6:$I$11,'Holgura'!$B$6:$B$11,$A61,'Holgura'!$E$6:$E$11,"Diego")+SUMIFS('Holgura'!$I$6:$I$11,'Holgura'!$B$6:$B$11,$A61,'Holgura'!$E$6:$E$11,"Ambos")+SUMIFS('Entrega'!$I$6:$I$9,'Entrega'!$B$6:$B$9,$A61,'Entrega'!$E$6:$E$9,"Diego")+SUMIFS('Entrega'!$I$6:$I$9,'Entrega'!$B$6:$B$9,$A61,'Entrega'!$E$6:$E$9,"Ambos")+SUMIFS('Defensa'!$I$6:$I$10,'Defensa'!$B$6:$B$10,$A61,'Defensa'!$E$6:$E$10,"Diego")+SUMIFS('Defensa'!$I$6:$I$10,'Defensa'!$B$6:$B$10,$A61,'Defensa'!$E$6:$E$10,"Ambos")</f>
        <v/>
      </c>
      <c r="F61" s="21">
        <f>COUNTIFS('S1'!$B$6:$B$32,$A61,'S1'!$E$6:$E$32,"Víctor")+COUNTIFS('S1'!$B$6:$B$32,$A61,'S1'!$E$6:$E$32,"Ambos")+COUNTIFS('S2'!$B$6:$B$23,$A61,'S2'!$E$6:$E$23,"Víctor")+COUNTIFS('S2'!$B$6:$B$23,$A61,'S2'!$E$6:$E$23,"Ambos")+COUNTIFS('S3'!$B$6:$B$24,$A61,'S3'!$E$6:$E$24,"Víctor")+COUNTIFS('S3'!$B$6:$B$24,$A61,'S3'!$E$6:$E$24,"Ambos")+COUNTIFS('S4'!$B$6:$B$22,$A61,'S4'!$E$6:$E$22,"Víctor")+COUNTIFS('S4'!$B$6:$B$22,$A61,'S4'!$E$6:$E$22,"Ambos")+COUNTIFS('S5'!$B$6:$B$20,$A61,'S5'!$E$6:$E$20,"Víctor")+COUNTIFS('S5'!$B$6:$B$20,$A61,'S5'!$E$6:$E$20,"Ambos")+COUNTIFS('S6'!$B$6:$B$17,$A61,'S6'!$E$6:$E$17,"Víctor")+COUNTIFS('S6'!$B$6:$B$17,$A61,'S6'!$E$6:$E$17,"Ambos")+COUNTIFS('S7'!$B$6:$B$19,$A61,'S7'!$E$6:$E$19,"Víctor")+COUNTIFS('S7'!$B$6:$B$19,$A61,'S7'!$E$6:$E$19,"Ambos")+COUNTIFS('S8'!$B$6:$B$23,$A61,'S8'!$E$6:$E$23,"Víctor")+COUNTIFS('S8'!$B$6:$B$23,$A61,'S8'!$E$6:$E$23,"Ambos")+COUNTIFS('S9'!$B$6:$B$15,$A61,'S9'!$E$6:$E$15,"Víctor")+COUNTIFS('S9'!$B$6:$B$15,$A61,'S9'!$E$6:$E$15,"Ambos")+COUNTIFS('S10'!$B$6:$B$13,$A61,'S10'!$E$6:$E$13,"Víctor")+COUNTIFS('S10'!$B$6:$B$13,$A61,'S10'!$E$6:$E$13,"Ambos")+COUNTIFS('Holgura'!$B$6:$B$11,$A61,'Holgura'!$E$6:$E$11,"Víctor")+COUNTIFS('Holgura'!$B$6:$B$11,$A61,'Holgura'!$E$6:$E$11,"Ambos")+COUNTIFS('Entrega'!$B$6:$B$9,$A61,'Entrega'!$E$6:$E$9,"Víctor")+COUNTIFS('Entrega'!$B$6:$B$9,$A61,'Entrega'!$E$6:$E$9,"Ambos")+COUNTIFS('Defensa'!$B$6:$B$10,$A61,'Defensa'!$E$6:$E$10,"Víctor")+COUNTIFS('Defensa'!$B$6:$B$10,$A61,'Defensa'!$E$6:$E$10,"Ambos")</f>
        <v/>
      </c>
      <c r="G61" s="21">
        <f>COUNTIFS('S1'!$B$6:$B$32,$A61,'S1'!$E$6:$E$32,"Diego")+COUNTIFS('S1'!$B$6:$B$32,$A61,'S1'!$E$6:$E$32,"Ambos")+COUNTIFS('S2'!$B$6:$B$23,$A61,'S2'!$E$6:$E$23,"Diego")+COUNTIFS('S2'!$B$6:$B$23,$A61,'S2'!$E$6:$E$23,"Ambos")+COUNTIFS('S3'!$B$6:$B$24,$A61,'S3'!$E$6:$E$24,"Diego")+COUNTIFS('S3'!$B$6:$B$24,$A61,'S3'!$E$6:$E$24,"Ambos")+COUNTIFS('S4'!$B$6:$B$22,$A61,'S4'!$E$6:$E$22,"Diego")+COUNTIFS('S4'!$B$6:$B$22,$A61,'S4'!$E$6:$E$22,"Ambos")+COUNTIFS('S5'!$B$6:$B$20,$A61,'S5'!$E$6:$E$20,"Diego")+COUNTIFS('S5'!$B$6:$B$20,$A61,'S5'!$E$6:$E$20,"Ambos")+COUNTIFS('S6'!$B$6:$B$17,$A61,'S6'!$E$6:$E$17,"Diego")+COUNTIFS('S6'!$B$6:$B$17,$A61,'S6'!$E$6:$E$17,"Ambos")+COUNTIFS('S7'!$B$6:$B$19,$A61,'S7'!$E$6:$E$19,"Diego")+COUNTIFS('S7'!$B$6:$B$19,$A61,'S7'!$E$6:$E$19,"Ambos")+COUNTIFS('S8'!$B$6:$B$23,$A61,'S8'!$E$6:$E$23,"Diego")+COUNTIFS('S8'!$B$6:$B$23,$A61,'S8'!$E$6:$E$23,"Ambos")+COUNTIFS('S9'!$B$6:$B$15,$A61,'S9'!$E$6:$E$15,"Diego")+COUNTIFS('S9'!$B$6:$B$15,$A61,'S9'!$E$6:$E$15,"Ambos")+COUNTIFS('S10'!$B$6:$B$13,$A61,'S10'!$E$6:$E$13,"Diego")+COUNTIFS('S10'!$B$6:$B$13,$A61,'S10'!$E$6:$E$13,"Ambos")+COUNTIFS('Holgura'!$B$6:$B$11,$A61,'Holgura'!$E$6:$E$11,"Diego")+COUNTIFS('Holgura'!$B$6:$B$11,$A61,'Holgura'!$E$6:$E$11,"Ambos")+COUNTIFS('Entrega'!$B$6:$B$9,$A61,'Entrega'!$E$6:$E$9,"Diego")+COUNTIFS('Entrega'!$B$6:$B$9,$A61,'Entrega'!$E$6:$E$9,"Ambos")+COUNTIFS('Defensa'!$B$6:$B$10,$A61,'Defensa'!$E$6:$E$10,"Diego")+COUNTIFS('Defensa'!$B$6:$B$10,$A61,'Defensa'!$E$6:$E$10,"Ambos")</f>
        <v/>
      </c>
    </row>
    <row r="62">
      <c r="A62" s="25" t="n">
        <v>46364</v>
      </c>
      <c r="B62" s="26">
        <f>A62</f>
        <v/>
      </c>
      <c r="C62" s="21">
        <f>IF(WEEKDAY(A62,2)&gt;5,4,2)</f>
        <v/>
      </c>
      <c r="D62" s="21">
        <f>SUMIFS('S1'!$I$6:$I$32,'S1'!$B$6:$B$32,$A62,'S1'!$E$6:$E$32,"Víctor")+SUMIFS('S1'!$I$6:$I$32,'S1'!$B$6:$B$32,$A62,'S1'!$E$6:$E$32,"Ambos")+SUMIFS('S2'!$I$6:$I$23,'S2'!$B$6:$B$23,$A62,'S2'!$E$6:$E$23,"Víctor")+SUMIFS('S2'!$I$6:$I$23,'S2'!$B$6:$B$23,$A62,'S2'!$E$6:$E$23,"Ambos")+SUMIFS('S3'!$I$6:$I$24,'S3'!$B$6:$B$24,$A62,'S3'!$E$6:$E$24,"Víctor")+SUMIFS('S3'!$I$6:$I$24,'S3'!$B$6:$B$24,$A62,'S3'!$E$6:$E$24,"Ambos")+SUMIFS('S4'!$I$6:$I$22,'S4'!$B$6:$B$22,$A62,'S4'!$E$6:$E$22,"Víctor")+SUMIFS('S4'!$I$6:$I$22,'S4'!$B$6:$B$22,$A62,'S4'!$E$6:$E$22,"Ambos")+SUMIFS('S5'!$I$6:$I$20,'S5'!$B$6:$B$20,$A62,'S5'!$E$6:$E$20,"Víctor")+SUMIFS('S5'!$I$6:$I$20,'S5'!$B$6:$B$20,$A62,'S5'!$E$6:$E$20,"Ambos")+SUMIFS('S6'!$I$6:$I$17,'S6'!$B$6:$B$17,$A62,'S6'!$E$6:$E$17,"Víctor")+SUMIFS('S6'!$I$6:$I$17,'S6'!$B$6:$B$17,$A62,'S6'!$E$6:$E$17,"Ambos")+SUMIFS('S7'!$I$6:$I$19,'S7'!$B$6:$B$19,$A62,'S7'!$E$6:$E$19,"Víctor")+SUMIFS('S7'!$I$6:$I$19,'S7'!$B$6:$B$19,$A62,'S7'!$E$6:$E$19,"Ambos")+SUMIFS('S8'!$I$6:$I$23,'S8'!$B$6:$B$23,$A62,'S8'!$E$6:$E$23,"Víctor")+SUMIFS('S8'!$I$6:$I$23,'S8'!$B$6:$B$23,$A62,'S8'!$E$6:$E$23,"Ambos")+SUMIFS('S9'!$I$6:$I$15,'S9'!$B$6:$B$15,$A62,'S9'!$E$6:$E$15,"Víctor")+SUMIFS('S9'!$I$6:$I$15,'S9'!$B$6:$B$15,$A62,'S9'!$E$6:$E$15,"Ambos")+SUMIFS('S10'!$I$6:$I$13,'S10'!$B$6:$B$13,$A62,'S10'!$E$6:$E$13,"Víctor")+SUMIFS('S10'!$I$6:$I$13,'S10'!$B$6:$B$13,$A62,'S10'!$E$6:$E$13,"Ambos")+SUMIFS('Holgura'!$I$6:$I$11,'Holgura'!$B$6:$B$11,$A62,'Holgura'!$E$6:$E$11,"Víctor")+SUMIFS('Holgura'!$I$6:$I$11,'Holgura'!$B$6:$B$11,$A62,'Holgura'!$E$6:$E$11,"Ambos")+SUMIFS('Entrega'!$I$6:$I$9,'Entrega'!$B$6:$B$9,$A62,'Entrega'!$E$6:$E$9,"Víctor")+SUMIFS('Entrega'!$I$6:$I$9,'Entrega'!$B$6:$B$9,$A62,'Entrega'!$E$6:$E$9,"Ambos")+SUMIFS('Defensa'!$I$6:$I$10,'Defensa'!$B$6:$B$10,$A62,'Defensa'!$E$6:$E$10,"Víctor")+SUMIFS('Defensa'!$I$6:$I$10,'Defensa'!$B$6:$B$10,$A62,'Defensa'!$E$6:$E$10,"Ambos")</f>
        <v/>
      </c>
      <c r="E62" s="21">
        <f>SUMIFS('S1'!$I$6:$I$32,'S1'!$B$6:$B$32,$A62,'S1'!$E$6:$E$32,"Diego")+SUMIFS('S1'!$I$6:$I$32,'S1'!$B$6:$B$32,$A62,'S1'!$E$6:$E$32,"Ambos")+SUMIFS('S2'!$I$6:$I$23,'S2'!$B$6:$B$23,$A62,'S2'!$E$6:$E$23,"Diego")+SUMIFS('S2'!$I$6:$I$23,'S2'!$B$6:$B$23,$A62,'S2'!$E$6:$E$23,"Ambos")+SUMIFS('S3'!$I$6:$I$24,'S3'!$B$6:$B$24,$A62,'S3'!$E$6:$E$24,"Diego")+SUMIFS('S3'!$I$6:$I$24,'S3'!$B$6:$B$24,$A62,'S3'!$E$6:$E$24,"Ambos")+SUMIFS('S4'!$I$6:$I$22,'S4'!$B$6:$B$22,$A62,'S4'!$E$6:$E$22,"Diego")+SUMIFS('S4'!$I$6:$I$22,'S4'!$B$6:$B$22,$A62,'S4'!$E$6:$E$22,"Ambos")+SUMIFS('S5'!$I$6:$I$20,'S5'!$B$6:$B$20,$A62,'S5'!$E$6:$E$20,"Diego")+SUMIFS('S5'!$I$6:$I$20,'S5'!$B$6:$B$20,$A62,'S5'!$E$6:$E$20,"Ambos")+SUMIFS('S6'!$I$6:$I$17,'S6'!$B$6:$B$17,$A62,'S6'!$E$6:$E$17,"Diego")+SUMIFS('S6'!$I$6:$I$17,'S6'!$B$6:$B$17,$A62,'S6'!$E$6:$E$17,"Ambos")+SUMIFS('S7'!$I$6:$I$19,'S7'!$B$6:$B$19,$A62,'S7'!$E$6:$E$19,"Diego")+SUMIFS('S7'!$I$6:$I$19,'S7'!$B$6:$B$19,$A62,'S7'!$E$6:$E$19,"Ambos")+SUMIFS('S8'!$I$6:$I$23,'S8'!$B$6:$B$23,$A62,'S8'!$E$6:$E$23,"Diego")+SUMIFS('S8'!$I$6:$I$23,'S8'!$B$6:$B$23,$A62,'S8'!$E$6:$E$23,"Ambos")+SUMIFS('S9'!$I$6:$I$15,'S9'!$B$6:$B$15,$A62,'S9'!$E$6:$E$15,"Diego")+SUMIFS('S9'!$I$6:$I$15,'S9'!$B$6:$B$15,$A62,'S9'!$E$6:$E$15,"Ambos")+SUMIFS('S10'!$I$6:$I$13,'S10'!$B$6:$B$13,$A62,'S10'!$E$6:$E$13,"Diego")+SUMIFS('S10'!$I$6:$I$13,'S10'!$B$6:$B$13,$A62,'S10'!$E$6:$E$13,"Ambos")+SUMIFS('Holgura'!$I$6:$I$11,'Holgura'!$B$6:$B$11,$A62,'Holgura'!$E$6:$E$11,"Diego")+SUMIFS('Holgura'!$I$6:$I$11,'Holgura'!$B$6:$B$11,$A62,'Holgura'!$E$6:$E$11,"Ambos")+SUMIFS('Entrega'!$I$6:$I$9,'Entrega'!$B$6:$B$9,$A62,'Entrega'!$E$6:$E$9,"Diego")+SUMIFS('Entrega'!$I$6:$I$9,'Entrega'!$B$6:$B$9,$A62,'Entrega'!$E$6:$E$9,"Ambos")+SUMIFS('Defensa'!$I$6:$I$10,'Defensa'!$B$6:$B$10,$A62,'Defensa'!$E$6:$E$10,"Diego")+SUMIFS('Defensa'!$I$6:$I$10,'Defensa'!$B$6:$B$10,$A62,'Defensa'!$E$6:$E$10,"Ambos")</f>
        <v/>
      </c>
      <c r="F62" s="21">
        <f>COUNTIFS('S1'!$B$6:$B$32,$A62,'S1'!$E$6:$E$32,"Víctor")+COUNTIFS('S1'!$B$6:$B$32,$A62,'S1'!$E$6:$E$32,"Ambos")+COUNTIFS('S2'!$B$6:$B$23,$A62,'S2'!$E$6:$E$23,"Víctor")+COUNTIFS('S2'!$B$6:$B$23,$A62,'S2'!$E$6:$E$23,"Ambos")+COUNTIFS('S3'!$B$6:$B$24,$A62,'S3'!$E$6:$E$24,"Víctor")+COUNTIFS('S3'!$B$6:$B$24,$A62,'S3'!$E$6:$E$24,"Ambos")+COUNTIFS('S4'!$B$6:$B$22,$A62,'S4'!$E$6:$E$22,"Víctor")+COUNTIFS('S4'!$B$6:$B$22,$A62,'S4'!$E$6:$E$22,"Ambos")+COUNTIFS('S5'!$B$6:$B$20,$A62,'S5'!$E$6:$E$20,"Víctor")+COUNTIFS('S5'!$B$6:$B$20,$A62,'S5'!$E$6:$E$20,"Ambos")+COUNTIFS('S6'!$B$6:$B$17,$A62,'S6'!$E$6:$E$17,"Víctor")+COUNTIFS('S6'!$B$6:$B$17,$A62,'S6'!$E$6:$E$17,"Ambos")+COUNTIFS('S7'!$B$6:$B$19,$A62,'S7'!$E$6:$E$19,"Víctor")+COUNTIFS('S7'!$B$6:$B$19,$A62,'S7'!$E$6:$E$19,"Ambos")+COUNTIFS('S8'!$B$6:$B$23,$A62,'S8'!$E$6:$E$23,"Víctor")+COUNTIFS('S8'!$B$6:$B$23,$A62,'S8'!$E$6:$E$23,"Ambos")+COUNTIFS('S9'!$B$6:$B$15,$A62,'S9'!$E$6:$E$15,"Víctor")+COUNTIFS('S9'!$B$6:$B$15,$A62,'S9'!$E$6:$E$15,"Ambos")+COUNTIFS('S10'!$B$6:$B$13,$A62,'S10'!$E$6:$E$13,"Víctor")+COUNTIFS('S10'!$B$6:$B$13,$A62,'S10'!$E$6:$E$13,"Ambos")+COUNTIFS('Holgura'!$B$6:$B$11,$A62,'Holgura'!$E$6:$E$11,"Víctor")+COUNTIFS('Holgura'!$B$6:$B$11,$A62,'Holgura'!$E$6:$E$11,"Ambos")+COUNTIFS('Entrega'!$B$6:$B$9,$A62,'Entrega'!$E$6:$E$9,"Víctor")+COUNTIFS('Entrega'!$B$6:$B$9,$A62,'Entrega'!$E$6:$E$9,"Ambos")+COUNTIFS('Defensa'!$B$6:$B$10,$A62,'Defensa'!$E$6:$E$10,"Víctor")+COUNTIFS('Defensa'!$B$6:$B$10,$A62,'Defensa'!$E$6:$E$10,"Ambos")</f>
        <v/>
      </c>
      <c r="G62" s="21">
        <f>COUNTIFS('S1'!$B$6:$B$32,$A62,'S1'!$E$6:$E$32,"Diego")+COUNTIFS('S1'!$B$6:$B$32,$A62,'S1'!$E$6:$E$32,"Ambos")+COUNTIFS('S2'!$B$6:$B$23,$A62,'S2'!$E$6:$E$23,"Diego")+COUNTIFS('S2'!$B$6:$B$23,$A62,'S2'!$E$6:$E$23,"Ambos")+COUNTIFS('S3'!$B$6:$B$24,$A62,'S3'!$E$6:$E$24,"Diego")+COUNTIFS('S3'!$B$6:$B$24,$A62,'S3'!$E$6:$E$24,"Ambos")+COUNTIFS('S4'!$B$6:$B$22,$A62,'S4'!$E$6:$E$22,"Diego")+COUNTIFS('S4'!$B$6:$B$22,$A62,'S4'!$E$6:$E$22,"Ambos")+COUNTIFS('S5'!$B$6:$B$20,$A62,'S5'!$E$6:$E$20,"Diego")+COUNTIFS('S5'!$B$6:$B$20,$A62,'S5'!$E$6:$E$20,"Ambos")+COUNTIFS('S6'!$B$6:$B$17,$A62,'S6'!$E$6:$E$17,"Diego")+COUNTIFS('S6'!$B$6:$B$17,$A62,'S6'!$E$6:$E$17,"Ambos")+COUNTIFS('S7'!$B$6:$B$19,$A62,'S7'!$E$6:$E$19,"Diego")+COUNTIFS('S7'!$B$6:$B$19,$A62,'S7'!$E$6:$E$19,"Ambos")+COUNTIFS('S8'!$B$6:$B$23,$A62,'S8'!$E$6:$E$23,"Diego")+COUNTIFS('S8'!$B$6:$B$23,$A62,'S8'!$E$6:$E$23,"Ambos")+COUNTIFS('S9'!$B$6:$B$15,$A62,'S9'!$E$6:$E$15,"Diego")+COUNTIFS('S9'!$B$6:$B$15,$A62,'S9'!$E$6:$E$15,"Ambos")+COUNTIFS('S10'!$B$6:$B$13,$A62,'S10'!$E$6:$E$13,"Diego")+COUNTIFS('S10'!$B$6:$B$13,$A62,'S10'!$E$6:$E$13,"Ambos")+COUNTIFS('Holgura'!$B$6:$B$11,$A62,'Holgura'!$E$6:$E$11,"Diego")+COUNTIFS('Holgura'!$B$6:$B$11,$A62,'Holgura'!$E$6:$E$11,"Ambos")+COUNTIFS('Entrega'!$B$6:$B$9,$A62,'Entrega'!$E$6:$E$9,"Diego")+COUNTIFS('Entrega'!$B$6:$B$9,$A62,'Entrega'!$E$6:$E$9,"Ambos")+COUNTIFS('Defensa'!$B$6:$B$10,$A62,'Defensa'!$E$6:$E$10,"Diego")+COUNTIFS('Defensa'!$B$6:$B$10,$A62,'Defensa'!$E$6:$E$10,"Ambos")</f>
        <v/>
      </c>
    </row>
    <row r="63">
      <c r="A63" s="25" t="n">
        <v>46365</v>
      </c>
      <c r="B63" s="26">
        <f>A63</f>
        <v/>
      </c>
      <c r="C63" s="21">
        <f>IF(WEEKDAY(A63,2)&gt;5,4,2)</f>
        <v/>
      </c>
      <c r="D63" s="21">
        <f>SUMIFS('S1'!$I$6:$I$32,'S1'!$B$6:$B$32,$A63,'S1'!$E$6:$E$32,"Víctor")+SUMIFS('S1'!$I$6:$I$32,'S1'!$B$6:$B$32,$A63,'S1'!$E$6:$E$32,"Ambos")+SUMIFS('S2'!$I$6:$I$23,'S2'!$B$6:$B$23,$A63,'S2'!$E$6:$E$23,"Víctor")+SUMIFS('S2'!$I$6:$I$23,'S2'!$B$6:$B$23,$A63,'S2'!$E$6:$E$23,"Ambos")+SUMIFS('S3'!$I$6:$I$24,'S3'!$B$6:$B$24,$A63,'S3'!$E$6:$E$24,"Víctor")+SUMIFS('S3'!$I$6:$I$24,'S3'!$B$6:$B$24,$A63,'S3'!$E$6:$E$24,"Ambos")+SUMIFS('S4'!$I$6:$I$22,'S4'!$B$6:$B$22,$A63,'S4'!$E$6:$E$22,"Víctor")+SUMIFS('S4'!$I$6:$I$22,'S4'!$B$6:$B$22,$A63,'S4'!$E$6:$E$22,"Ambos")+SUMIFS('S5'!$I$6:$I$20,'S5'!$B$6:$B$20,$A63,'S5'!$E$6:$E$20,"Víctor")+SUMIFS('S5'!$I$6:$I$20,'S5'!$B$6:$B$20,$A63,'S5'!$E$6:$E$20,"Ambos")+SUMIFS('S6'!$I$6:$I$17,'S6'!$B$6:$B$17,$A63,'S6'!$E$6:$E$17,"Víctor")+SUMIFS('S6'!$I$6:$I$17,'S6'!$B$6:$B$17,$A63,'S6'!$E$6:$E$17,"Ambos")+SUMIFS('S7'!$I$6:$I$19,'S7'!$B$6:$B$19,$A63,'S7'!$E$6:$E$19,"Víctor")+SUMIFS('S7'!$I$6:$I$19,'S7'!$B$6:$B$19,$A63,'S7'!$E$6:$E$19,"Ambos")+SUMIFS('S8'!$I$6:$I$23,'S8'!$B$6:$B$23,$A63,'S8'!$E$6:$E$23,"Víctor")+SUMIFS('S8'!$I$6:$I$23,'S8'!$B$6:$B$23,$A63,'S8'!$E$6:$E$23,"Ambos")+SUMIFS('S9'!$I$6:$I$15,'S9'!$B$6:$B$15,$A63,'S9'!$E$6:$E$15,"Víctor")+SUMIFS('S9'!$I$6:$I$15,'S9'!$B$6:$B$15,$A63,'S9'!$E$6:$E$15,"Ambos")+SUMIFS('S10'!$I$6:$I$13,'S10'!$B$6:$B$13,$A63,'S10'!$E$6:$E$13,"Víctor")+SUMIFS('S10'!$I$6:$I$13,'S10'!$B$6:$B$13,$A63,'S10'!$E$6:$E$13,"Ambos")+SUMIFS('Holgura'!$I$6:$I$11,'Holgura'!$B$6:$B$11,$A63,'Holgura'!$E$6:$E$11,"Víctor")+SUMIFS('Holgura'!$I$6:$I$11,'Holgura'!$B$6:$B$11,$A63,'Holgura'!$E$6:$E$11,"Ambos")+SUMIFS('Entrega'!$I$6:$I$9,'Entrega'!$B$6:$B$9,$A63,'Entrega'!$E$6:$E$9,"Víctor")+SUMIFS('Entrega'!$I$6:$I$9,'Entrega'!$B$6:$B$9,$A63,'Entrega'!$E$6:$E$9,"Ambos")+SUMIFS('Defensa'!$I$6:$I$10,'Defensa'!$B$6:$B$10,$A63,'Defensa'!$E$6:$E$10,"Víctor")+SUMIFS('Defensa'!$I$6:$I$10,'Defensa'!$B$6:$B$10,$A63,'Defensa'!$E$6:$E$10,"Ambos")</f>
        <v/>
      </c>
      <c r="E63" s="21">
        <f>SUMIFS('S1'!$I$6:$I$32,'S1'!$B$6:$B$32,$A63,'S1'!$E$6:$E$32,"Diego")+SUMIFS('S1'!$I$6:$I$32,'S1'!$B$6:$B$32,$A63,'S1'!$E$6:$E$32,"Ambos")+SUMIFS('S2'!$I$6:$I$23,'S2'!$B$6:$B$23,$A63,'S2'!$E$6:$E$23,"Diego")+SUMIFS('S2'!$I$6:$I$23,'S2'!$B$6:$B$23,$A63,'S2'!$E$6:$E$23,"Ambos")+SUMIFS('S3'!$I$6:$I$24,'S3'!$B$6:$B$24,$A63,'S3'!$E$6:$E$24,"Diego")+SUMIFS('S3'!$I$6:$I$24,'S3'!$B$6:$B$24,$A63,'S3'!$E$6:$E$24,"Ambos")+SUMIFS('S4'!$I$6:$I$22,'S4'!$B$6:$B$22,$A63,'S4'!$E$6:$E$22,"Diego")+SUMIFS('S4'!$I$6:$I$22,'S4'!$B$6:$B$22,$A63,'S4'!$E$6:$E$22,"Ambos")+SUMIFS('S5'!$I$6:$I$20,'S5'!$B$6:$B$20,$A63,'S5'!$E$6:$E$20,"Diego")+SUMIFS('S5'!$I$6:$I$20,'S5'!$B$6:$B$20,$A63,'S5'!$E$6:$E$20,"Ambos")+SUMIFS('S6'!$I$6:$I$17,'S6'!$B$6:$B$17,$A63,'S6'!$E$6:$E$17,"Diego")+SUMIFS('S6'!$I$6:$I$17,'S6'!$B$6:$B$17,$A63,'S6'!$E$6:$E$17,"Ambos")+SUMIFS('S7'!$I$6:$I$19,'S7'!$B$6:$B$19,$A63,'S7'!$E$6:$E$19,"Diego")+SUMIFS('S7'!$I$6:$I$19,'S7'!$B$6:$B$19,$A63,'S7'!$E$6:$E$19,"Ambos")+SUMIFS('S8'!$I$6:$I$23,'S8'!$B$6:$B$23,$A63,'S8'!$E$6:$E$23,"Diego")+SUMIFS('S8'!$I$6:$I$23,'S8'!$B$6:$B$23,$A63,'S8'!$E$6:$E$23,"Ambos")+SUMIFS('S9'!$I$6:$I$15,'S9'!$B$6:$B$15,$A63,'S9'!$E$6:$E$15,"Diego")+SUMIFS('S9'!$I$6:$I$15,'S9'!$B$6:$B$15,$A63,'S9'!$E$6:$E$15,"Ambos")+SUMIFS('S10'!$I$6:$I$13,'S10'!$B$6:$B$13,$A63,'S10'!$E$6:$E$13,"Diego")+SUMIFS('S10'!$I$6:$I$13,'S10'!$B$6:$B$13,$A63,'S10'!$E$6:$E$13,"Ambos")+SUMIFS('Holgura'!$I$6:$I$11,'Holgura'!$B$6:$B$11,$A63,'Holgura'!$E$6:$E$11,"Diego")+SUMIFS('Holgura'!$I$6:$I$11,'Holgura'!$B$6:$B$11,$A63,'Holgura'!$E$6:$E$11,"Ambos")+SUMIFS('Entrega'!$I$6:$I$9,'Entrega'!$B$6:$B$9,$A63,'Entrega'!$E$6:$E$9,"Diego")+SUMIFS('Entrega'!$I$6:$I$9,'Entrega'!$B$6:$B$9,$A63,'Entrega'!$E$6:$E$9,"Ambos")+SUMIFS('Defensa'!$I$6:$I$10,'Defensa'!$B$6:$B$10,$A63,'Defensa'!$E$6:$E$10,"Diego")+SUMIFS('Defensa'!$I$6:$I$10,'Defensa'!$B$6:$B$10,$A63,'Defensa'!$E$6:$E$10,"Ambos")</f>
        <v/>
      </c>
      <c r="F63" s="21">
        <f>COUNTIFS('S1'!$B$6:$B$32,$A63,'S1'!$E$6:$E$32,"Víctor")+COUNTIFS('S1'!$B$6:$B$32,$A63,'S1'!$E$6:$E$32,"Ambos")+COUNTIFS('S2'!$B$6:$B$23,$A63,'S2'!$E$6:$E$23,"Víctor")+COUNTIFS('S2'!$B$6:$B$23,$A63,'S2'!$E$6:$E$23,"Ambos")+COUNTIFS('S3'!$B$6:$B$24,$A63,'S3'!$E$6:$E$24,"Víctor")+COUNTIFS('S3'!$B$6:$B$24,$A63,'S3'!$E$6:$E$24,"Ambos")+COUNTIFS('S4'!$B$6:$B$22,$A63,'S4'!$E$6:$E$22,"Víctor")+COUNTIFS('S4'!$B$6:$B$22,$A63,'S4'!$E$6:$E$22,"Ambos")+COUNTIFS('S5'!$B$6:$B$20,$A63,'S5'!$E$6:$E$20,"Víctor")+COUNTIFS('S5'!$B$6:$B$20,$A63,'S5'!$E$6:$E$20,"Ambos")+COUNTIFS('S6'!$B$6:$B$17,$A63,'S6'!$E$6:$E$17,"Víctor")+COUNTIFS('S6'!$B$6:$B$17,$A63,'S6'!$E$6:$E$17,"Ambos")+COUNTIFS('S7'!$B$6:$B$19,$A63,'S7'!$E$6:$E$19,"Víctor")+COUNTIFS('S7'!$B$6:$B$19,$A63,'S7'!$E$6:$E$19,"Ambos")+COUNTIFS('S8'!$B$6:$B$23,$A63,'S8'!$E$6:$E$23,"Víctor")+COUNTIFS('S8'!$B$6:$B$23,$A63,'S8'!$E$6:$E$23,"Ambos")+COUNTIFS('S9'!$B$6:$B$15,$A63,'S9'!$E$6:$E$15,"Víctor")+COUNTIFS('S9'!$B$6:$B$15,$A63,'S9'!$E$6:$E$15,"Ambos")+COUNTIFS('S10'!$B$6:$B$13,$A63,'S10'!$E$6:$E$13,"Víctor")+COUNTIFS('S10'!$B$6:$B$13,$A63,'S10'!$E$6:$E$13,"Ambos")+COUNTIFS('Holgura'!$B$6:$B$11,$A63,'Holgura'!$E$6:$E$11,"Víctor")+COUNTIFS('Holgura'!$B$6:$B$11,$A63,'Holgura'!$E$6:$E$11,"Ambos")+COUNTIFS('Entrega'!$B$6:$B$9,$A63,'Entrega'!$E$6:$E$9,"Víctor")+COUNTIFS('Entrega'!$B$6:$B$9,$A63,'Entrega'!$E$6:$E$9,"Ambos")+COUNTIFS('Defensa'!$B$6:$B$10,$A63,'Defensa'!$E$6:$E$10,"Víctor")+COUNTIFS('Defensa'!$B$6:$B$10,$A63,'Defensa'!$E$6:$E$10,"Ambos")</f>
        <v/>
      </c>
      <c r="G63" s="21">
        <f>COUNTIFS('S1'!$B$6:$B$32,$A63,'S1'!$E$6:$E$32,"Diego")+COUNTIFS('S1'!$B$6:$B$32,$A63,'S1'!$E$6:$E$32,"Ambos")+COUNTIFS('S2'!$B$6:$B$23,$A63,'S2'!$E$6:$E$23,"Diego")+COUNTIFS('S2'!$B$6:$B$23,$A63,'S2'!$E$6:$E$23,"Ambos")+COUNTIFS('S3'!$B$6:$B$24,$A63,'S3'!$E$6:$E$24,"Diego")+COUNTIFS('S3'!$B$6:$B$24,$A63,'S3'!$E$6:$E$24,"Ambos")+COUNTIFS('S4'!$B$6:$B$22,$A63,'S4'!$E$6:$E$22,"Diego")+COUNTIFS('S4'!$B$6:$B$22,$A63,'S4'!$E$6:$E$22,"Ambos")+COUNTIFS('S5'!$B$6:$B$20,$A63,'S5'!$E$6:$E$20,"Diego")+COUNTIFS('S5'!$B$6:$B$20,$A63,'S5'!$E$6:$E$20,"Ambos")+COUNTIFS('S6'!$B$6:$B$17,$A63,'S6'!$E$6:$E$17,"Diego")+COUNTIFS('S6'!$B$6:$B$17,$A63,'S6'!$E$6:$E$17,"Ambos")+COUNTIFS('S7'!$B$6:$B$19,$A63,'S7'!$E$6:$E$19,"Diego")+COUNTIFS('S7'!$B$6:$B$19,$A63,'S7'!$E$6:$E$19,"Ambos")+COUNTIFS('S8'!$B$6:$B$23,$A63,'S8'!$E$6:$E$23,"Diego")+COUNTIFS('S8'!$B$6:$B$23,$A63,'S8'!$E$6:$E$23,"Ambos")+COUNTIFS('S9'!$B$6:$B$15,$A63,'S9'!$E$6:$E$15,"Diego")+COUNTIFS('S9'!$B$6:$B$15,$A63,'S9'!$E$6:$E$15,"Ambos")+COUNTIFS('S10'!$B$6:$B$13,$A63,'S10'!$E$6:$E$13,"Diego")+COUNTIFS('S10'!$B$6:$B$13,$A63,'S10'!$E$6:$E$13,"Ambos")+COUNTIFS('Holgura'!$B$6:$B$11,$A63,'Holgura'!$E$6:$E$11,"Diego")+COUNTIFS('Holgura'!$B$6:$B$11,$A63,'Holgura'!$E$6:$E$11,"Ambos")+COUNTIFS('Entrega'!$B$6:$B$9,$A63,'Entrega'!$E$6:$E$9,"Diego")+COUNTIFS('Entrega'!$B$6:$B$9,$A63,'Entrega'!$E$6:$E$9,"Ambos")+COUNTIFS('Defensa'!$B$6:$B$10,$A63,'Defensa'!$E$6:$E$10,"Diego")+COUNTIFS('Defensa'!$B$6:$B$10,$A63,'Defensa'!$E$6:$E$10,"Ambos")</f>
        <v/>
      </c>
    </row>
    <row r="64">
      <c r="A64" s="25" t="n">
        <v>46366</v>
      </c>
      <c r="B64" s="26">
        <f>A64</f>
        <v/>
      </c>
      <c r="C64" s="21">
        <f>IF(WEEKDAY(A64,2)&gt;5,4,2)</f>
        <v/>
      </c>
      <c r="D64" s="21">
        <f>SUMIFS('S1'!$I$6:$I$32,'S1'!$B$6:$B$32,$A64,'S1'!$E$6:$E$32,"Víctor")+SUMIFS('S1'!$I$6:$I$32,'S1'!$B$6:$B$32,$A64,'S1'!$E$6:$E$32,"Ambos")+SUMIFS('S2'!$I$6:$I$23,'S2'!$B$6:$B$23,$A64,'S2'!$E$6:$E$23,"Víctor")+SUMIFS('S2'!$I$6:$I$23,'S2'!$B$6:$B$23,$A64,'S2'!$E$6:$E$23,"Ambos")+SUMIFS('S3'!$I$6:$I$24,'S3'!$B$6:$B$24,$A64,'S3'!$E$6:$E$24,"Víctor")+SUMIFS('S3'!$I$6:$I$24,'S3'!$B$6:$B$24,$A64,'S3'!$E$6:$E$24,"Ambos")+SUMIFS('S4'!$I$6:$I$22,'S4'!$B$6:$B$22,$A64,'S4'!$E$6:$E$22,"Víctor")+SUMIFS('S4'!$I$6:$I$22,'S4'!$B$6:$B$22,$A64,'S4'!$E$6:$E$22,"Ambos")+SUMIFS('S5'!$I$6:$I$20,'S5'!$B$6:$B$20,$A64,'S5'!$E$6:$E$20,"Víctor")+SUMIFS('S5'!$I$6:$I$20,'S5'!$B$6:$B$20,$A64,'S5'!$E$6:$E$20,"Ambos")+SUMIFS('S6'!$I$6:$I$17,'S6'!$B$6:$B$17,$A64,'S6'!$E$6:$E$17,"Víctor")+SUMIFS('S6'!$I$6:$I$17,'S6'!$B$6:$B$17,$A64,'S6'!$E$6:$E$17,"Ambos")+SUMIFS('S7'!$I$6:$I$19,'S7'!$B$6:$B$19,$A64,'S7'!$E$6:$E$19,"Víctor")+SUMIFS('S7'!$I$6:$I$19,'S7'!$B$6:$B$19,$A64,'S7'!$E$6:$E$19,"Ambos")+SUMIFS('S8'!$I$6:$I$23,'S8'!$B$6:$B$23,$A64,'S8'!$E$6:$E$23,"Víctor")+SUMIFS('S8'!$I$6:$I$23,'S8'!$B$6:$B$23,$A64,'S8'!$E$6:$E$23,"Ambos")+SUMIFS('S9'!$I$6:$I$15,'S9'!$B$6:$B$15,$A64,'S9'!$E$6:$E$15,"Víctor")+SUMIFS('S9'!$I$6:$I$15,'S9'!$B$6:$B$15,$A64,'S9'!$E$6:$E$15,"Ambos")+SUMIFS('S10'!$I$6:$I$13,'S10'!$B$6:$B$13,$A64,'S10'!$E$6:$E$13,"Víctor")+SUMIFS('S10'!$I$6:$I$13,'S10'!$B$6:$B$13,$A64,'S10'!$E$6:$E$13,"Ambos")+SUMIFS('Holgura'!$I$6:$I$11,'Holgura'!$B$6:$B$11,$A64,'Holgura'!$E$6:$E$11,"Víctor")+SUMIFS('Holgura'!$I$6:$I$11,'Holgura'!$B$6:$B$11,$A64,'Holgura'!$E$6:$E$11,"Ambos")+SUMIFS('Entrega'!$I$6:$I$9,'Entrega'!$B$6:$B$9,$A64,'Entrega'!$E$6:$E$9,"Víctor")+SUMIFS('Entrega'!$I$6:$I$9,'Entrega'!$B$6:$B$9,$A64,'Entrega'!$E$6:$E$9,"Ambos")+SUMIFS('Defensa'!$I$6:$I$10,'Defensa'!$B$6:$B$10,$A64,'Defensa'!$E$6:$E$10,"Víctor")+SUMIFS('Defensa'!$I$6:$I$10,'Defensa'!$B$6:$B$10,$A64,'Defensa'!$E$6:$E$10,"Ambos")</f>
        <v/>
      </c>
      <c r="E64" s="21">
        <f>SUMIFS('S1'!$I$6:$I$32,'S1'!$B$6:$B$32,$A64,'S1'!$E$6:$E$32,"Diego")+SUMIFS('S1'!$I$6:$I$32,'S1'!$B$6:$B$32,$A64,'S1'!$E$6:$E$32,"Ambos")+SUMIFS('S2'!$I$6:$I$23,'S2'!$B$6:$B$23,$A64,'S2'!$E$6:$E$23,"Diego")+SUMIFS('S2'!$I$6:$I$23,'S2'!$B$6:$B$23,$A64,'S2'!$E$6:$E$23,"Ambos")+SUMIFS('S3'!$I$6:$I$24,'S3'!$B$6:$B$24,$A64,'S3'!$E$6:$E$24,"Diego")+SUMIFS('S3'!$I$6:$I$24,'S3'!$B$6:$B$24,$A64,'S3'!$E$6:$E$24,"Ambos")+SUMIFS('S4'!$I$6:$I$22,'S4'!$B$6:$B$22,$A64,'S4'!$E$6:$E$22,"Diego")+SUMIFS('S4'!$I$6:$I$22,'S4'!$B$6:$B$22,$A64,'S4'!$E$6:$E$22,"Ambos")+SUMIFS('S5'!$I$6:$I$20,'S5'!$B$6:$B$20,$A64,'S5'!$E$6:$E$20,"Diego")+SUMIFS('S5'!$I$6:$I$20,'S5'!$B$6:$B$20,$A64,'S5'!$E$6:$E$20,"Ambos")+SUMIFS('S6'!$I$6:$I$17,'S6'!$B$6:$B$17,$A64,'S6'!$E$6:$E$17,"Diego")+SUMIFS('S6'!$I$6:$I$17,'S6'!$B$6:$B$17,$A64,'S6'!$E$6:$E$17,"Ambos")+SUMIFS('S7'!$I$6:$I$19,'S7'!$B$6:$B$19,$A64,'S7'!$E$6:$E$19,"Diego")+SUMIFS('S7'!$I$6:$I$19,'S7'!$B$6:$B$19,$A64,'S7'!$E$6:$E$19,"Ambos")+SUMIFS('S8'!$I$6:$I$23,'S8'!$B$6:$B$23,$A64,'S8'!$E$6:$E$23,"Diego")+SUMIFS('S8'!$I$6:$I$23,'S8'!$B$6:$B$23,$A64,'S8'!$E$6:$E$23,"Ambos")+SUMIFS('S9'!$I$6:$I$15,'S9'!$B$6:$B$15,$A64,'S9'!$E$6:$E$15,"Diego")+SUMIFS('S9'!$I$6:$I$15,'S9'!$B$6:$B$15,$A64,'S9'!$E$6:$E$15,"Ambos")+SUMIFS('S10'!$I$6:$I$13,'S10'!$B$6:$B$13,$A64,'S10'!$E$6:$E$13,"Diego")+SUMIFS('S10'!$I$6:$I$13,'S10'!$B$6:$B$13,$A64,'S10'!$E$6:$E$13,"Ambos")+SUMIFS('Holgura'!$I$6:$I$11,'Holgura'!$B$6:$B$11,$A64,'Holgura'!$E$6:$E$11,"Diego")+SUMIFS('Holgura'!$I$6:$I$11,'Holgura'!$B$6:$B$11,$A64,'Holgura'!$E$6:$E$11,"Ambos")+SUMIFS('Entrega'!$I$6:$I$9,'Entrega'!$B$6:$B$9,$A64,'Entrega'!$E$6:$E$9,"Diego")+SUMIFS('Entrega'!$I$6:$I$9,'Entrega'!$B$6:$B$9,$A64,'Entrega'!$E$6:$E$9,"Ambos")+SUMIFS('Defensa'!$I$6:$I$10,'Defensa'!$B$6:$B$10,$A64,'Defensa'!$E$6:$E$10,"Diego")+SUMIFS('Defensa'!$I$6:$I$10,'Defensa'!$B$6:$B$10,$A64,'Defensa'!$E$6:$E$10,"Ambos")</f>
        <v/>
      </c>
      <c r="F64" s="21">
        <f>COUNTIFS('S1'!$B$6:$B$32,$A64,'S1'!$E$6:$E$32,"Víctor")+COUNTIFS('S1'!$B$6:$B$32,$A64,'S1'!$E$6:$E$32,"Ambos")+COUNTIFS('S2'!$B$6:$B$23,$A64,'S2'!$E$6:$E$23,"Víctor")+COUNTIFS('S2'!$B$6:$B$23,$A64,'S2'!$E$6:$E$23,"Ambos")+COUNTIFS('S3'!$B$6:$B$24,$A64,'S3'!$E$6:$E$24,"Víctor")+COUNTIFS('S3'!$B$6:$B$24,$A64,'S3'!$E$6:$E$24,"Ambos")+COUNTIFS('S4'!$B$6:$B$22,$A64,'S4'!$E$6:$E$22,"Víctor")+COUNTIFS('S4'!$B$6:$B$22,$A64,'S4'!$E$6:$E$22,"Ambos")+COUNTIFS('S5'!$B$6:$B$20,$A64,'S5'!$E$6:$E$20,"Víctor")+COUNTIFS('S5'!$B$6:$B$20,$A64,'S5'!$E$6:$E$20,"Ambos")+COUNTIFS('S6'!$B$6:$B$17,$A64,'S6'!$E$6:$E$17,"Víctor")+COUNTIFS('S6'!$B$6:$B$17,$A64,'S6'!$E$6:$E$17,"Ambos")+COUNTIFS('S7'!$B$6:$B$19,$A64,'S7'!$E$6:$E$19,"Víctor")+COUNTIFS('S7'!$B$6:$B$19,$A64,'S7'!$E$6:$E$19,"Ambos")+COUNTIFS('S8'!$B$6:$B$23,$A64,'S8'!$E$6:$E$23,"Víctor")+COUNTIFS('S8'!$B$6:$B$23,$A64,'S8'!$E$6:$E$23,"Ambos")+COUNTIFS('S9'!$B$6:$B$15,$A64,'S9'!$E$6:$E$15,"Víctor")+COUNTIFS('S9'!$B$6:$B$15,$A64,'S9'!$E$6:$E$15,"Ambos")+COUNTIFS('S10'!$B$6:$B$13,$A64,'S10'!$E$6:$E$13,"Víctor")+COUNTIFS('S10'!$B$6:$B$13,$A64,'S10'!$E$6:$E$13,"Ambos")+COUNTIFS('Holgura'!$B$6:$B$11,$A64,'Holgura'!$E$6:$E$11,"Víctor")+COUNTIFS('Holgura'!$B$6:$B$11,$A64,'Holgura'!$E$6:$E$11,"Ambos")+COUNTIFS('Entrega'!$B$6:$B$9,$A64,'Entrega'!$E$6:$E$9,"Víctor")+COUNTIFS('Entrega'!$B$6:$B$9,$A64,'Entrega'!$E$6:$E$9,"Ambos")+COUNTIFS('Defensa'!$B$6:$B$10,$A64,'Defensa'!$E$6:$E$10,"Víctor")+COUNTIFS('Defensa'!$B$6:$B$10,$A64,'Defensa'!$E$6:$E$10,"Ambos")</f>
        <v/>
      </c>
      <c r="G64" s="21">
        <f>COUNTIFS('S1'!$B$6:$B$32,$A64,'S1'!$E$6:$E$32,"Diego")+COUNTIFS('S1'!$B$6:$B$32,$A64,'S1'!$E$6:$E$32,"Ambos")+COUNTIFS('S2'!$B$6:$B$23,$A64,'S2'!$E$6:$E$23,"Diego")+COUNTIFS('S2'!$B$6:$B$23,$A64,'S2'!$E$6:$E$23,"Ambos")+COUNTIFS('S3'!$B$6:$B$24,$A64,'S3'!$E$6:$E$24,"Diego")+COUNTIFS('S3'!$B$6:$B$24,$A64,'S3'!$E$6:$E$24,"Ambos")+COUNTIFS('S4'!$B$6:$B$22,$A64,'S4'!$E$6:$E$22,"Diego")+COUNTIFS('S4'!$B$6:$B$22,$A64,'S4'!$E$6:$E$22,"Ambos")+COUNTIFS('S5'!$B$6:$B$20,$A64,'S5'!$E$6:$E$20,"Diego")+COUNTIFS('S5'!$B$6:$B$20,$A64,'S5'!$E$6:$E$20,"Ambos")+COUNTIFS('S6'!$B$6:$B$17,$A64,'S6'!$E$6:$E$17,"Diego")+COUNTIFS('S6'!$B$6:$B$17,$A64,'S6'!$E$6:$E$17,"Ambos")+COUNTIFS('S7'!$B$6:$B$19,$A64,'S7'!$E$6:$E$19,"Diego")+COUNTIFS('S7'!$B$6:$B$19,$A64,'S7'!$E$6:$E$19,"Ambos")+COUNTIFS('S8'!$B$6:$B$23,$A64,'S8'!$E$6:$E$23,"Diego")+COUNTIFS('S8'!$B$6:$B$23,$A64,'S8'!$E$6:$E$23,"Ambos")+COUNTIFS('S9'!$B$6:$B$15,$A64,'S9'!$E$6:$E$15,"Diego")+COUNTIFS('S9'!$B$6:$B$15,$A64,'S9'!$E$6:$E$15,"Ambos")+COUNTIFS('S10'!$B$6:$B$13,$A64,'S10'!$E$6:$E$13,"Diego")+COUNTIFS('S10'!$B$6:$B$13,$A64,'S10'!$E$6:$E$13,"Ambos")+COUNTIFS('Holgura'!$B$6:$B$11,$A64,'Holgura'!$E$6:$E$11,"Diego")+COUNTIFS('Holgura'!$B$6:$B$11,$A64,'Holgura'!$E$6:$E$11,"Ambos")+COUNTIFS('Entrega'!$B$6:$B$9,$A64,'Entrega'!$E$6:$E$9,"Diego")+COUNTIFS('Entrega'!$B$6:$B$9,$A64,'Entrega'!$E$6:$E$9,"Ambos")+COUNTIFS('Defensa'!$B$6:$B$10,$A64,'Defensa'!$E$6:$E$10,"Diego")+COUNTIFS('Defensa'!$B$6:$B$10,$A64,'Defensa'!$E$6:$E$10,"Ambos")</f>
        <v/>
      </c>
    </row>
    <row r="65">
      <c r="A65" s="25" t="n">
        <v>46367</v>
      </c>
      <c r="B65" s="26">
        <f>A65</f>
        <v/>
      </c>
      <c r="C65" s="21">
        <f>IF(WEEKDAY(A65,2)&gt;5,4,2)</f>
        <v/>
      </c>
      <c r="D65" s="21">
        <f>SUMIFS('S1'!$I$6:$I$32,'S1'!$B$6:$B$32,$A65,'S1'!$E$6:$E$32,"Víctor")+SUMIFS('S1'!$I$6:$I$32,'S1'!$B$6:$B$32,$A65,'S1'!$E$6:$E$32,"Ambos")+SUMIFS('S2'!$I$6:$I$23,'S2'!$B$6:$B$23,$A65,'S2'!$E$6:$E$23,"Víctor")+SUMIFS('S2'!$I$6:$I$23,'S2'!$B$6:$B$23,$A65,'S2'!$E$6:$E$23,"Ambos")+SUMIFS('S3'!$I$6:$I$24,'S3'!$B$6:$B$24,$A65,'S3'!$E$6:$E$24,"Víctor")+SUMIFS('S3'!$I$6:$I$24,'S3'!$B$6:$B$24,$A65,'S3'!$E$6:$E$24,"Ambos")+SUMIFS('S4'!$I$6:$I$22,'S4'!$B$6:$B$22,$A65,'S4'!$E$6:$E$22,"Víctor")+SUMIFS('S4'!$I$6:$I$22,'S4'!$B$6:$B$22,$A65,'S4'!$E$6:$E$22,"Ambos")+SUMIFS('S5'!$I$6:$I$20,'S5'!$B$6:$B$20,$A65,'S5'!$E$6:$E$20,"Víctor")+SUMIFS('S5'!$I$6:$I$20,'S5'!$B$6:$B$20,$A65,'S5'!$E$6:$E$20,"Ambos")+SUMIFS('S6'!$I$6:$I$17,'S6'!$B$6:$B$17,$A65,'S6'!$E$6:$E$17,"Víctor")+SUMIFS('S6'!$I$6:$I$17,'S6'!$B$6:$B$17,$A65,'S6'!$E$6:$E$17,"Ambos")+SUMIFS('S7'!$I$6:$I$19,'S7'!$B$6:$B$19,$A65,'S7'!$E$6:$E$19,"Víctor")+SUMIFS('S7'!$I$6:$I$19,'S7'!$B$6:$B$19,$A65,'S7'!$E$6:$E$19,"Ambos")+SUMIFS('S8'!$I$6:$I$23,'S8'!$B$6:$B$23,$A65,'S8'!$E$6:$E$23,"Víctor")+SUMIFS('S8'!$I$6:$I$23,'S8'!$B$6:$B$23,$A65,'S8'!$E$6:$E$23,"Ambos")+SUMIFS('S9'!$I$6:$I$15,'S9'!$B$6:$B$15,$A65,'S9'!$E$6:$E$15,"Víctor")+SUMIFS('S9'!$I$6:$I$15,'S9'!$B$6:$B$15,$A65,'S9'!$E$6:$E$15,"Ambos")+SUMIFS('S10'!$I$6:$I$13,'S10'!$B$6:$B$13,$A65,'S10'!$E$6:$E$13,"Víctor")+SUMIFS('S10'!$I$6:$I$13,'S10'!$B$6:$B$13,$A65,'S10'!$E$6:$E$13,"Ambos")+SUMIFS('Holgura'!$I$6:$I$11,'Holgura'!$B$6:$B$11,$A65,'Holgura'!$E$6:$E$11,"Víctor")+SUMIFS('Holgura'!$I$6:$I$11,'Holgura'!$B$6:$B$11,$A65,'Holgura'!$E$6:$E$11,"Ambos")+SUMIFS('Entrega'!$I$6:$I$9,'Entrega'!$B$6:$B$9,$A65,'Entrega'!$E$6:$E$9,"Víctor")+SUMIFS('Entrega'!$I$6:$I$9,'Entrega'!$B$6:$B$9,$A65,'Entrega'!$E$6:$E$9,"Ambos")+SUMIFS('Defensa'!$I$6:$I$10,'Defensa'!$B$6:$B$10,$A65,'Defensa'!$E$6:$E$10,"Víctor")+SUMIFS('Defensa'!$I$6:$I$10,'Defensa'!$B$6:$B$10,$A65,'Defensa'!$E$6:$E$10,"Ambos")</f>
        <v/>
      </c>
      <c r="E65" s="21">
        <f>SUMIFS('S1'!$I$6:$I$32,'S1'!$B$6:$B$32,$A65,'S1'!$E$6:$E$32,"Diego")+SUMIFS('S1'!$I$6:$I$32,'S1'!$B$6:$B$32,$A65,'S1'!$E$6:$E$32,"Ambos")+SUMIFS('S2'!$I$6:$I$23,'S2'!$B$6:$B$23,$A65,'S2'!$E$6:$E$23,"Diego")+SUMIFS('S2'!$I$6:$I$23,'S2'!$B$6:$B$23,$A65,'S2'!$E$6:$E$23,"Ambos")+SUMIFS('S3'!$I$6:$I$24,'S3'!$B$6:$B$24,$A65,'S3'!$E$6:$E$24,"Diego")+SUMIFS('S3'!$I$6:$I$24,'S3'!$B$6:$B$24,$A65,'S3'!$E$6:$E$24,"Ambos")+SUMIFS('S4'!$I$6:$I$22,'S4'!$B$6:$B$22,$A65,'S4'!$E$6:$E$22,"Diego")+SUMIFS('S4'!$I$6:$I$22,'S4'!$B$6:$B$22,$A65,'S4'!$E$6:$E$22,"Ambos")+SUMIFS('S5'!$I$6:$I$20,'S5'!$B$6:$B$20,$A65,'S5'!$E$6:$E$20,"Diego")+SUMIFS('S5'!$I$6:$I$20,'S5'!$B$6:$B$20,$A65,'S5'!$E$6:$E$20,"Ambos")+SUMIFS('S6'!$I$6:$I$17,'S6'!$B$6:$B$17,$A65,'S6'!$E$6:$E$17,"Diego")+SUMIFS('S6'!$I$6:$I$17,'S6'!$B$6:$B$17,$A65,'S6'!$E$6:$E$17,"Ambos")+SUMIFS('S7'!$I$6:$I$19,'S7'!$B$6:$B$19,$A65,'S7'!$E$6:$E$19,"Diego")+SUMIFS('S7'!$I$6:$I$19,'S7'!$B$6:$B$19,$A65,'S7'!$E$6:$E$19,"Ambos")+SUMIFS('S8'!$I$6:$I$23,'S8'!$B$6:$B$23,$A65,'S8'!$E$6:$E$23,"Diego")+SUMIFS('S8'!$I$6:$I$23,'S8'!$B$6:$B$23,$A65,'S8'!$E$6:$E$23,"Ambos")+SUMIFS('S9'!$I$6:$I$15,'S9'!$B$6:$B$15,$A65,'S9'!$E$6:$E$15,"Diego")+SUMIFS('S9'!$I$6:$I$15,'S9'!$B$6:$B$15,$A65,'S9'!$E$6:$E$15,"Ambos")+SUMIFS('S10'!$I$6:$I$13,'S10'!$B$6:$B$13,$A65,'S10'!$E$6:$E$13,"Diego")+SUMIFS('S10'!$I$6:$I$13,'S10'!$B$6:$B$13,$A65,'S10'!$E$6:$E$13,"Ambos")+SUMIFS('Holgura'!$I$6:$I$11,'Holgura'!$B$6:$B$11,$A65,'Holgura'!$E$6:$E$11,"Diego")+SUMIFS('Holgura'!$I$6:$I$11,'Holgura'!$B$6:$B$11,$A65,'Holgura'!$E$6:$E$11,"Ambos")+SUMIFS('Entrega'!$I$6:$I$9,'Entrega'!$B$6:$B$9,$A65,'Entrega'!$E$6:$E$9,"Diego")+SUMIFS('Entrega'!$I$6:$I$9,'Entrega'!$B$6:$B$9,$A65,'Entrega'!$E$6:$E$9,"Ambos")+SUMIFS('Defensa'!$I$6:$I$10,'Defensa'!$B$6:$B$10,$A65,'Defensa'!$E$6:$E$10,"Diego")+SUMIFS('Defensa'!$I$6:$I$10,'Defensa'!$B$6:$B$10,$A65,'Defensa'!$E$6:$E$10,"Ambos")</f>
        <v/>
      </c>
      <c r="F65" s="21">
        <f>COUNTIFS('S1'!$B$6:$B$32,$A65,'S1'!$E$6:$E$32,"Víctor")+COUNTIFS('S1'!$B$6:$B$32,$A65,'S1'!$E$6:$E$32,"Ambos")+COUNTIFS('S2'!$B$6:$B$23,$A65,'S2'!$E$6:$E$23,"Víctor")+COUNTIFS('S2'!$B$6:$B$23,$A65,'S2'!$E$6:$E$23,"Ambos")+COUNTIFS('S3'!$B$6:$B$24,$A65,'S3'!$E$6:$E$24,"Víctor")+COUNTIFS('S3'!$B$6:$B$24,$A65,'S3'!$E$6:$E$24,"Ambos")+COUNTIFS('S4'!$B$6:$B$22,$A65,'S4'!$E$6:$E$22,"Víctor")+COUNTIFS('S4'!$B$6:$B$22,$A65,'S4'!$E$6:$E$22,"Ambos")+COUNTIFS('S5'!$B$6:$B$20,$A65,'S5'!$E$6:$E$20,"Víctor")+COUNTIFS('S5'!$B$6:$B$20,$A65,'S5'!$E$6:$E$20,"Ambos")+COUNTIFS('S6'!$B$6:$B$17,$A65,'S6'!$E$6:$E$17,"Víctor")+COUNTIFS('S6'!$B$6:$B$17,$A65,'S6'!$E$6:$E$17,"Ambos")+COUNTIFS('S7'!$B$6:$B$19,$A65,'S7'!$E$6:$E$19,"Víctor")+COUNTIFS('S7'!$B$6:$B$19,$A65,'S7'!$E$6:$E$19,"Ambos")+COUNTIFS('S8'!$B$6:$B$23,$A65,'S8'!$E$6:$E$23,"Víctor")+COUNTIFS('S8'!$B$6:$B$23,$A65,'S8'!$E$6:$E$23,"Ambos")+COUNTIFS('S9'!$B$6:$B$15,$A65,'S9'!$E$6:$E$15,"Víctor")+COUNTIFS('S9'!$B$6:$B$15,$A65,'S9'!$E$6:$E$15,"Ambos")+COUNTIFS('S10'!$B$6:$B$13,$A65,'S10'!$E$6:$E$13,"Víctor")+COUNTIFS('S10'!$B$6:$B$13,$A65,'S10'!$E$6:$E$13,"Ambos")+COUNTIFS('Holgura'!$B$6:$B$11,$A65,'Holgura'!$E$6:$E$11,"Víctor")+COUNTIFS('Holgura'!$B$6:$B$11,$A65,'Holgura'!$E$6:$E$11,"Ambos")+COUNTIFS('Entrega'!$B$6:$B$9,$A65,'Entrega'!$E$6:$E$9,"Víctor")+COUNTIFS('Entrega'!$B$6:$B$9,$A65,'Entrega'!$E$6:$E$9,"Ambos")+COUNTIFS('Defensa'!$B$6:$B$10,$A65,'Defensa'!$E$6:$E$10,"Víctor")+COUNTIFS('Defensa'!$B$6:$B$10,$A65,'Defensa'!$E$6:$E$10,"Ambos")</f>
        <v/>
      </c>
      <c r="G65" s="21">
        <f>COUNTIFS('S1'!$B$6:$B$32,$A65,'S1'!$E$6:$E$32,"Diego")+COUNTIFS('S1'!$B$6:$B$32,$A65,'S1'!$E$6:$E$32,"Ambos")+COUNTIFS('S2'!$B$6:$B$23,$A65,'S2'!$E$6:$E$23,"Diego")+COUNTIFS('S2'!$B$6:$B$23,$A65,'S2'!$E$6:$E$23,"Ambos")+COUNTIFS('S3'!$B$6:$B$24,$A65,'S3'!$E$6:$E$24,"Diego")+COUNTIFS('S3'!$B$6:$B$24,$A65,'S3'!$E$6:$E$24,"Ambos")+COUNTIFS('S4'!$B$6:$B$22,$A65,'S4'!$E$6:$E$22,"Diego")+COUNTIFS('S4'!$B$6:$B$22,$A65,'S4'!$E$6:$E$22,"Ambos")+COUNTIFS('S5'!$B$6:$B$20,$A65,'S5'!$E$6:$E$20,"Diego")+COUNTIFS('S5'!$B$6:$B$20,$A65,'S5'!$E$6:$E$20,"Ambos")+COUNTIFS('S6'!$B$6:$B$17,$A65,'S6'!$E$6:$E$17,"Diego")+COUNTIFS('S6'!$B$6:$B$17,$A65,'S6'!$E$6:$E$17,"Ambos")+COUNTIFS('S7'!$B$6:$B$19,$A65,'S7'!$E$6:$E$19,"Diego")+COUNTIFS('S7'!$B$6:$B$19,$A65,'S7'!$E$6:$E$19,"Ambos")+COUNTIFS('S8'!$B$6:$B$23,$A65,'S8'!$E$6:$E$23,"Diego")+COUNTIFS('S8'!$B$6:$B$23,$A65,'S8'!$E$6:$E$23,"Ambos")+COUNTIFS('S9'!$B$6:$B$15,$A65,'S9'!$E$6:$E$15,"Diego")+COUNTIFS('S9'!$B$6:$B$15,$A65,'S9'!$E$6:$E$15,"Ambos")+COUNTIFS('S10'!$B$6:$B$13,$A65,'S10'!$E$6:$E$13,"Diego")+COUNTIFS('S10'!$B$6:$B$13,$A65,'S10'!$E$6:$E$13,"Ambos")+COUNTIFS('Holgura'!$B$6:$B$11,$A65,'Holgura'!$E$6:$E$11,"Diego")+COUNTIFS('Holgura'!$B$6:$B$11,$A65,'Holgura'!$E$6:$E$11,"Ambos")+COUNTIFS('Entrega'!$B$6:$B$9,$A65,'Entrega'!$E$6:$E$9,"Diego")+COUNTIFS('Entrega'!$B$6:$B$9,$A65,'Entrega'!$E$6:$E$9,"Ambos")+COUNTIFS('Defensa'!$B$6:$B$10,$A65,'Defensa'!$E$6:$E$10,"Diego")+COUNTIFS('Defensa'!$B$6:$B$10,$A65,'Defensa'!$E$6:$E$10,"Ambos")</f>
        <v/>
      </c>
    </row>
    <row r="66">
      <c r="A66" s="25" t="n">
        <v>46368</v>
      </c>
      <c r="B66" s="26">
        <f>A66</f>
        <v/>
      </c>
      <c r="C66" s="21">
        <f>IF(WEEKDAY(A66,2)&gt;5,4,2)</f>
        <v/>
      </c>
      <c r="D66" s="21">
        <f>SUMIFS('S1'!$I$6:$I$32,'S1'!$B$6:$B$32,$A66,'S1'!$E$6:$E$32,"Víctor")+SUMIFS('S1'!$I$6:$I$32,'S1'!$B$6:$B$32,$A66,'S1'!$E$6:$E$32,"Ambos")+SUMIFS('S2'!$I$6:$I$23,'S2'!$B$6:$B$23,$A66,'S2'!$E$6:$E$23,"Víctor")+SUMIFS('S2'!$I$6:$I$23,'S2'!$B$6:$B$23,$A66,'S2'!$E$6:$E$23,"Ambos")+SUMIFS('S3'!$I$6:$I$24,'S3'!$B$6:$B$24,$A66,'S3'!$E$6:$E$24,"Víctor")+SUMIFS('S3'!$I$6:$I$24,'S3'!$B$6:$B$24,$A66,'S3'!$E$6:$E$24,"Ambos")+SUMIFS('S4'!$I$6:$I$22,'S4'!$B$6:$B$22,$A66,'S4'!$E$6:$E$22,"Víctor")+SUMIFS('S4'!$I$6:$I$22,'S4'!$B$6:$B$22,$A66,'S4'!$E$6:$E$22,"Ambos")+SUMIFS('S5'!$I$6:$I$20,'S5'!$B$6:$B$20,$A66,'S5'!$E$6:$E$20,"Víctor")+SUMIFS('S5'!$I$6:$I$20,'S5'!$B$6:$B$20,$A66,'S5'!$E$6:$E$20,"Ambos")+SUMIFS('S6'!$I$6:$I$17,'S6'!$B$6:$B$17,$A66,'S6'!$E$6:$E$17,"Víctor")+SUMIFS('S6'!$I$6:$I$17,'S6'!$B$6:$B$17,$A66,'S6'!$E$6:$E$17,"Ambos")+SUMIFS('S7'!$I$6:$I$19,'S7'!$B$6:$B$19,$A66,'S7'!$E$6:$E$19,"Víctor")+SUMIFS('S7'!$I$6:$I$19,'S7'!$B$6:$B$19,$A66,'S7'!$E$6:$E$19,"Ambos")+SUMIFS('S8'!$I$6:$I$23,'S8'!$B$6:$B$23,$A66,'S8'!$E$6:$E$23,"Víctor")+SUMIFS('S8'!$I$6:$I$23,'S8'!$B$6:$B$23,$A66,'S8'!$E$6:$E$23,"Ambos")+SUMIFS('S9'!$I$6:$I$15,'S9'!$B$6:$B$15,$A66,'S9'!$E$6:$E$15,"Víctor")+SUMIFS('S9'!$I$6:$I$15,'S9'!$B$6:$B$15,$A66,'S9'!$E$6:$E$15,"Ambos")+SUMIFS('S10'!$I$6:$I$13,'S10'!$B$6:$B$13,$A66,'S10'!$E$6:$E$13,"Víctor")+SUMIFS('S10'!$I$6:$I$13,'S10'!$B$6:$B$13,$A66,'S10'!$E$6:$E$13,"Ambos")+SUMIFS('Holgura'!$I$6:$I$11,'Holgura'!$B$6:$B$11,$A66,'Holgura'!$E$6:$E$11,"Víctor")+SUMIFS('Holgura'!$I$6:$I$11,'Holgura'!$B$6:$B$11,$A66,'Holgura'!$E$6:$E$11,"Ambos")+SUMIFS('Entrega'!$I$6:$I$9,'Entrega'!$B$6:$B$9,$A66,'Entrega'!$E$6:$E$9,"Víctor")+SUMIFS('Entrega'!$I$6:$I$9,'Entrega'!$B$6:$B$9,$A66,'Entrega'!$E$6:$E$9,"Ambos")+SUMIFS('Defensa'!$I$6:$I$10,'Defensa'!$B$6:$B$10,$A66,'Defensa'!$E$6:$E$10,"Víctor")+SUMIFS('Defensa'!$I$6:$I$10,'Defensa'!$B$6:$B$10,$A66,'Defensa'!$E$6:$E$10,"Ambos")</f>
        <v/>
      </c>
      <c r="E66" s="21">
        <f>SUMIFS('S1'!$I$6:$I$32,'S1'!$B$6:$B$32,$A66,'S1'!$E$6:$E$32,"Diego")+SUMIFS('S1'!$I$6:$I$32,'S1'!$B$6:$B$32,$A66,'S1'!$E$6:$E$32,"Ambos")+SUMIFS('S2'!$I$6:$I$23,'S2'!$B$6:$B$23,$A66,'S2'!$E$6:$E$23,"Diego")+SUMIFS('S2'!$I$6:$I$23,'S2'!$B$6:$B$23,$A66,'S2'!$E$6:$E$23,"Ambos")+SUMIFS('S3'!$I$6:$I$24,'S3'!$B$6:$B$24,$A66,'S3'!$E$6:$E$24,"Diego")+SUMIFS('S3'!$I$6:$I$24,'S3'!$B$6:$B$24,$A66,'S3'!$E$6:$E$24,"Ambos")+SUMIFS('S4'!$I$6:$I$22,'S4'!$B$6:$B$22,$A66,'S4'!$E$6:$E$22,"Diego")+SUMIFS('S4'!$I$6:$I$22,'S4'!$B$6:$B$22,$A66,'S4'!$E$6:$E$22,"Ambos")+SUMIFS('S5'!$I$6:$I$20,'S5'!$B$6:$B$20,$A66,'S5'!$E$6:$E$20,"Diego")+SUMIFS('S5'!$I$6:$I$20,'S5'!$B$6:$B$20,$A66,'S5'!$E$6:$E$20,"Ambos")+SUMIFS('S6'!$I$6:$I$17,'S6'!$B$6:$B$17,$A66,'S6'!$E$6:$E$17,"Diego")+SUMIFS('S6'!$I$6:$I$17,'S6'!$B$6:$B$17,$A66,'S6'!$E$6:$E$17,"Ambos")+SUMIFS('S7'!$I$6:$I$19,'S7'!$B$6:$B$19,$A66,'S7'!$E$6:$E$19,"Diego")+SUMIFS('S7'!$I$6:$I$19,'S7'!$B$6:$B$19,$A66,'S7'!$E$6:$E$19,"Ambos")+SUMIFS('S8'!$I$6:$I$23,'S8'!$B$6:$B$23,$A66,'S8'!$E$6:$E$23,"Diego")+SUMIFS('S8'!$I$6:$I$23,'S8'!$B$6:$B$23,$A66,'S8'!$E$6:$E$23,"Ambos")+SUMIFS('S9'!$I$6:$I$15,'S9'!$B$6:$B$15,$A66,'S9'!$E$6:$E$15,"Diego")+SUMIFS('S9'!$I$6:$I$15,'S9'!$B$6:$B$15,$A66,'S9'!$E$6:$E$15,"Ambos")+SUMIFS('S10'!$I$6:$I$13,'S10'!$B$6:$B$13,$A66,'S10'!$E$6:$E$13,"Diego")+SUMIFS('S10'!$I$6:$I$13,'S10'!$B$6:$B$13,$A66,'S10'!$E$6:$E$13,"Ambos")+SUMIFS('Holgura'!$I$6:$I$11,'Holgura'!$B$6:$B$11,$A66,'Holgura'!$E$6:$E$11,"Diego")+SUMIFS('Holgura'!$I$6:$I$11,'Holgura'!$B$6:$B$11,$A66,'Holgura'!$E$6:$E$11,"Ambos")+SUMIFS('Entrega'!$I$6:$I$9,'Entrega'!$B$6:$B$9,$A66,'Entrega'!$E$6:$E$9,"Diego")+SUMIFS('Entrega'!$I$6:$I$9,'Entrega'!$B$6:$B$9,$A66,'Entrega'!$E$6:$E$9,"Ambos")+SUMIFS('Defensa'!$I$6:$I$10,'Defensa'!$B$6:$B$10,$A66,'Defensa'!$E$6:$E$10,"Diego")+SUMIFS('Defensa'!$I$6:$I$10,'Defensa'!$B$6:$B$10,$A66,'Defensa'!$E$6:$E$10,"Ambos")</f>
        <v/>
      </c>
      <c r="F66" s="21">
        <f>COUNTIFS('S1'!$B$6:$B$32,$A66,'S1'!$E$6:$E$32,"Víctor")+COUNTIFS('S1'!$B$6:$B$32,$A66,'S1'!$E$6:$E$32,"Ambos")+COUNTIFS('S2'!$B$6:$B$23,$A66,'S2'!$E$6:$E$23,"Víctor")+COUNTIFS('S2'!$B$6:$B$23,$A66,'S2'!$E$6:$E$23,"Ambos")+COUNTIFS('S3'!$B$6:$B$24,$A66,'S3'!$E$6:$E$24,"Víctor")+COUNTIFS('S3'!$B$6:$B$24,$A66,'S3'!$E$6:$E$24,"Ambos")+COUNTIFS('S4'!$B$6:$B$22,$A66,'S4'!$E$6:$E$22,"Víctor")+COUNTIFS('S4'!$B$6:$B$22,$A66,'S4'!$E$6:$E$22,"Ambos")+COUNTIFS('S5'!$B$6:$B$20,$A66,'S5'!$E$6:$E$20,"Víctor")+COUNTIFS('S5'!$B$6:$B$20,$A66,'S5'!$E$6:$E$20,"Ambos")+COUNTIFS('S6'!$B$6:$B$17,$A66,'S6'!$E$6:$E$17,"Víctor")+COUNTIFS('S6'!$B$6:$B$17,$A66,'S6'!$E$6:$E$17,"Ambos")+COUNTIFS('S7'!$B$6:$B$19,$A66,'S7'!$E$6:$E$19,"Víctor")+COUNTIFS('S7'!$B$6:$B$19,$A66,'S7'!$E$6:$E$19,"Ambos")+COUNTIFS('S8'!$B$6:$B$23,$A66,'S8'!$E$6:$E$23,"Víctor")+COUNTIFS('S8'!$B$6:$B$23,$A66,'S8'!$E$6:$E$23,"Ambos")+COUNTIFS('S9'!$B$6:$B$15,$A66,'S9'!$E$6:$E$15,"Víctor")+COUNTIFS('S9'!$B$6:$B$15,$A66,'S9'!$E$6:$E$15,"Ambos")+COUNTIFS('S10'!$B$6:$B$13,$A66,'S10'!$E$6:$E$13,"Víctor")+COUNTIFS('S10'!$B$6:$B$13,$A66,'S10'!$E$6:$E$13,"Ambos")+COUNTIFS('Holgura'!$B$6:$B$11,$A66,'Holgura'!$E$6:$E$11,"Víctor")+COUNTIFS('Holgura'!$B$6:$B$11,$A66,'Holgura'!$E$6:$E$11,"Ambos")+COUNTIFS('Entrega'!$B$6:$B$9,$A66,'Entrega'!$E$6:$E$9,"Víctor")+COUNTIFS('Entrega'!$B$6:$B$9,$A66,'Entrega'!$E$6:$E$9,"Ambos")+COUNTIFS('Defensa'!$B$6:$B$10,$A66,'Defensa'!$E$6:$E$10,"Víctor")+COUNTIFS('Defensa'!$B$6:$B$10,$A66,'Defensa'!$E$6:$E$10,"Ambos")</f>
        <v/>
      </c>
      <c r="G66" s="21">
        <f>COUNTIFS('S1'!$B$6:$B$32,$A66,'S1'!$E$6:$E$32,"Diego")+COUNTIFS('S1'!$B$6:$B$32,$A66,'S1'!$E$6:$E$32,"Ambos")+COUNTIFS('S2'!$B$6:$B$23,$A66,'S2'!$E$6:$E$23,"Diego")+COUNTIFS('S2'!$B$6:$B$23,$A66,'S2'!$E$6:$E$23,"Ambos")+COUNTIFS('S3'!$B$6:$B$24,$A66,'S3'!$E$6:$E$24,"Diego")+COUNTIFS('S3'!$B$6:$B$24,$A66,'S3'!$E$6:$E$24,"Ambos")+COUNTIFS('S4'!$B$6:$B$22,$A66,'S4'!$E$6:$E$22,"Diego")+COUNTIFS('S4'!$B$6:$B$22,$A66,'S4'!$E$6:$E$22,"Ambos")+COUNTIFS('S5'!$B$6:$B$20,$A66,'S5'!$E$6:$E$20,"Diego")+COUNTIFS('S5'!$B$6:$B$20,$A66,'S5'!$E$6:$E$20,"Ambos")+COUNTIFS('S6'!$B$6:$B$17,$A66,'S6'!$E$6:$E$17,"Diego")+COUNTIFS('S6'!$B$6:$B$17,$A66,'S6'!$E$6:$E$17,"Ambos")+COUNTIFS('S7'!$B$6:$B$19,$A66,'S7'!$E$6:$E$19,"Diego")+COUNTIFS('S7'!$B$6:$B$19,$A66,'S7'!$E$6:$E$19,"Ambos")+COUNTIFS('S8'!$B$6:$B$23,$A66,'S8'!$E$6:$E$23,"Diego")+COUNTIFS('S8'!$B$6:$B$23,$A66,'S8'!$E$6:$E$23,"Ambos")+COUNTIFS('S9'!$B$6:$B$15,$A66,'S9'!$E$6:$E$15,"Diego")+COUNTIFS('S9'!$B$6:$B$15,$A66,'S9'!$E$6:$E$15,"Ambos")+COUNTIFS('S10'!$B$6:$B$13,$A66,'S10'!$E$6:$E$13,"Diego")+COUNTIFS('S10'!$B$6:$B$13,$A66,'S10'!$E$6:$E$13,"Ambos")+COUNTIFS('Holgura'!$B$6:$B$11,$A66,'Holgura'!$E$6:$E$11,"Diego")+COUNTIFS('Holgura'!$B$6:$B$11,$A66,'Holgura'!$E$6:$E$11,"Ambos")+COUNTIFS('Entrega'!$B$6:$B$9,$A66,'Entrega'!$E$6:$E$9,"Diego")+COUNTIFS('Entrega'!$B$6:$B$9,$A66,'Entrega'!$E$6:$E$9,"Ambos")+COUNTIFS('Defensa'!$B$6:$B$10,$A66,'Defensa'!$E$6:$E$10,"Diego")+COUNTIFS('Defensa'!$B$6:$B$10,$A66,'Defensa'!$E$6:$E$10,"Ambos")</f>
        <v/>
      </c>
    </row>
    <row r="67">
      <c r="A67" s="25" t="n">
        <v>46369</v>
      </c>
      <c r="B67" s="26">
        <f>A67</f>
        <v/>
      </c>
      <c r="C67" s="21">
        <f>IF(WEEKDAY(A67,2)&gt;5,4,2)</f>
        <v/>
      </c>
      <c r="D67" s="21">
        <f>SUMIFS('S1'!$I$6:$I$32,'S1'!$B$6:$B$32,$A67,'S1'!$E$6:$E$32,"Víctor")+SUMIFS('S1'!$I$6:$I$32,'S1'!$B$6:$B$32,$A67,'S1'!$E$6:$E$32,"Ambos")+SUMIFS('S2'!$I$6:$I$23,'S2'!$B$6:$B$23,$A67,'S2'!$E$6:$E$23,"Víctor")+SUMIFS('S2'!$I$6:$I$23,'S2'!$B$6:$B$23,$A67,'S2'!$E$6:$E$23,"Ambos")+SUMIFS('S3'!$I$6:$I$24,'S3'!$B$6:$B$24,$A67,'S3'!$E$6:$E$24,"Víctor")+SUMIFS('S3'!$I$6:$I$24,'S3'!$B$6:$B$24,$A67,'S3'!$E$6:$E$24,"Ambos")+SUMIFS('S4'!$I$6:$I$22,'S4'!$B$6:$B$22,$A67,'S4'!$E$6:$E$22,"Víctor")+SUMIFS('S4'!$I$6:$I$22,'S4'!$B$6:$B$22,$A67,'S4'!$E$6:$E$22,"Ambos")+SUMIFS('S5'!$I$6:$I$20,'S5'!$B$6:$B$20,$A67,'S5'!$E$6:$E$20,"Víctor")+SUMIFS('S5'!$I$6:$I$20,'S5'!$B$6:$B$20,$A67,'S5'!$E$6:$E$20,"Ambos")+SUMIFS('S6'!$I$6:$I$17,'S6'!$B$6:$B$17,$A67,'S6'!$E$6:$E$17,"Víctor")+SUMIFS('S6'!$I$6:$I$17,'S6'!$B$6:$B$17,$A67,'S6'!$E$6:$E$17,"Ambos")+SUMIFS('S7'!$I$6:$I$19,'S7'!$B$6:$B$19,$A67,'S7'!$E$6:$E$19,"Víctor")+SUMIFS('S7'!$I$6:$I$19,'S7'!$B$6:$B$19,$A67,'S7'!$E$6:$E$19,"Ambos")+SUMIFS('S8'!$I$6:$I$23,'S8'!$B$6:$B$23,$A67,'S8'!$E$6:$E$23,"Víctor")+SUMIFS('S8'!$I$6:$I$23,'S8'!$B$6:$B$23,$A67,'S8'!$E$6:$E$23,"Ambos")+SUMIFS('S9'!$I$6:$I$15,'S9'!$B$6:$B$15,$A67,'S9'!$E$6:$E$15,"Víctor")+SUMIFS('S9'!$I$6:$I$15,'S9'!$B$6:$B$15,$A67,'S9'!$E$6:$E$15,"Ambos")+SUMIFS('S10'!$I$6:$I$13,'S10'!$B$6:$B$13,$A67,'S10'!$E$6:$E$13,"Víctor")+SUMIFS('S10'!$I$6:$I$13,'S10'!$B$6:$B$13,$A67,'S10'!$E$6:$E$13,"Ambos")+SUMIFS('Holgura'!$I$6:$I$11,'Holgura'!$B$6:$B$11,$A67,'Holgura'!$E$6:$E$11,"Víctor")+SUMIFS('Holgura'!$I$6:$I$11,'Holgura'!$B$6:$B$11,$A67,'Holgura'!$E$6:$E$11,"Ambos")+SUMIFS('Entrega'!$I$6:$I$9,'Entrega'!$B$6:$B$9,$A67,'Entrega'!$E$6:$E$9,"Víctor")+SUMIFS('Entrega'!$I$6:$I$9,'Entrega'!$B$6:$B$9,$A67,'Entrega'!$E$6:$E$9,"Ambos")+SUMIFS('Defensa'!$I$6:$I$10,'Defensa'!$B$6:$B$10,$A67,'Defensa'!$E$6:$E$10,"Víctor")+SUMIFS('Defensa'!$I$6:$I$10,'Defensa'!$B$6:$B$10,$A67,'Defensa'!$E$6:$E$10,"Ambos")</f>
        <v/>
      </c>
      <c r="E67" s="21">
        <f>SUMIFS('S1'!$I$6:$I$32,'S1'!$B$6:$B$32,$A67,'S1'!$E$6:$E$32,"Diego")+SUMIFS('S1'!$I$6:$I$32,'S1'!$B$6:$B$32,$A67,'S1'!$E$6:$E$32,"Ambos")+SUMIFS('S2'!$I$6:$I$23,'S2'!$B$6:$B$23,$A67,'S2'!$E$6:$E$23,"Diego")+SUMIFS('S2'!$I$6:$I$23,'S2'!$B$6:$B$23,$A67,'S2'!$E$6:$E$23,"Ambos")+SUMIFS('S3'!$I$6:$I$24,'S3'!$B$6:$B$24,$A67,'S3'!$E$6:$E$24,"Diego")+SUMIFS('S3'!$I$6:$I$24,'S3'!$B$6:$B$24,$A67,'S3'!$E$6:$E$24,"Ambos")+SUMIFS('S4'!$I$6:$I$22,'S4'!$B$6:$B$22,$A67,'S4'!$E$6:$E$22,"Diego")+SUMIFS('S4'!$I$6:$I$22,'S4'!$B$6:$B$22,$A67,'S4'!$E$6:$E$22,"Ambos")+SUMIFS('S5'!$I$6:$I$20,'S5'!$B$6:$B$20,$A67,'S5'!$E$6:$E$20,"Diego")+SUMIFS('S5'!$I$6:$I$20,'S5'!$B$6:$B$20,$A67,'S5'!$E$6:$E$20,"Ambos")+SUMIFS('S6'!$I$6:$I$17,'S6'!$B$6:$B$17,$A67,'S6'!$E$6:$E$17,"Diego")+SUMIFS('S6'!$I$6:$I$17,'S6'!$B$6:$B$17,$A67,'S6'!$E$6:$E$17,"Ambos")+SUMIFS('S7'!$I$6:$I$19,'S7'!$B$6:$B$19,$A67,'S7'!$E$6:$E$19,"Diego")+SUMIFS('S7'!$I$6:$I$19,'S7'!$B$6:$B$19,$A67,'S7'!$E$6:$E$19,"Ambos")+SUMIFS('S8'!$I$6:$I$23,'S8'!$B$6:$B$23,$A67,'S8'!$E$6:$E$23,"Diego")+SUMIFS('S8'!$I$6:$I$23,'S8'!$B$6:$B$23,$A67,'S8'!$E$6:$E$23,"Ambos")+SUMIFS('S9'!$I$6:$I$15,'S9'!$B$6:$B$15,$A67,'S9'!$E$6:$E$15,"Diego")+SUMIFS('S9'!$I$6:$I$15,'S9'!$B$6:$B$15,$A67,'S9'!$E$6:$E$15,"Ambos")+SUMIFS('S10'!$I$6:$I$13,'S10'!$B$6:$B$13,$A67,'S10'!$E$6:$E$13,"Diego")+SUMIFS('S10'!$I$6:$I$13,'S10'!$B$6:$B$13,$A67,'S10'!$E$6:$E$13,"Ambos")+SUMIFS('Holgura'!$I$6:$I$11,'Holgura'!$B$6:$B$11,$A67,'Holgura'!$E$6:$E$11,"Diego")+SUMIFS('Holgura'!$I$6:$I$11,'Holgura'!$B$6:$B$11,$A67,'Holgura'!$E$6:$E$11,"Ambos")+SUMIFS('Entrega'!$I$6:$I$9,'Entrega'!$B$6:$B$9,$A67,'Entrega'!$E$6:$E$9,"Diego")+SUMIFS('Entrega'!$I$6:$I$9,'Entrega'!$B$6:$B$9,$A67,'Entrega'!$E$6:$E$9,"Ambos")+SUMIFS('Defensa'!$I$6:$I$10,'Defensa'!$B$6:$B$10,$A67,'Defensa'!$E$6:$E$10,"Diego")+SUMIFS('Defensa'!$I$6:$I$10,'Defensa'!$B$6:$B$10,$A67,'Defensa'!$E$6:$E$10,"Ambos")</f>
        <v/>
      </c>
      <c r="F67" s="21">
        <f>COUNTIFS('S1'!$B$6:$B$32,$A67,'S1'!$E$6:$E$32,"Víctor")+COUNTIFS('S1'!$B$6:$B$32,$A67,'S1'!$E$6:$E$32,"Ambos")+COUNTIFS('S2'!$B$6:$B$23,$A67,'S2'!$E$6:$E$23,"Víctor")+COUNTIFS('S2'!$B$6:$B$23,$A67,'S2'!$E$6:$E$23,"Ambos")+COUNTIFS('S3'!$B$6:$B$24,$A67,'S3'!$E$6:$E$24,"Víctor")+COUNTIFS('S3'!$B$6:$B$24,$A67,'S3'!$E$6:$E$24,"Ambos")+COUNTIFS('S4'!$B$6:$B$22,$A67,'S4'!$E$6:$E$22,"Víctor")+COUNTIFS('S4'!$B$6:$B$22,$A67,'S4'!$E$6:$E$22,"Ambos")+COUNTIFS('S5'!$B$6:$B$20,$A67,'S5'!$E$6:$E$20,"Víctor")+COUNTIFS('S5'!$B$6:$B$20,$A67,'S5'!$E$6:$E$20,"Ambos")+COUNTIFS('S6'!$B$6:$B$17,$A67,'S6'!$E$6:$E$17,"Víctor")+COUNTIFS('S6'!$B$6:$B$17,$A67,'S6'!$E$6:$E$17,"Ambos")+COUNTIFS('S7'!$B$6:$B$19,$A67,'S7'!$E$6:$E$19,"Víctor")+COUNTIFS('S7'!$B$6:$B$19,$A67,'S7'!$E$6:$E$19,"Ambos")+COUNTIFS('S8'!$B$6:$B$23,$A67,'S8'!$E$6:$E$23,"Víctor")+COUNTIFS('S8'!$B$6:$B$23,$A67,'S8'!$E$6:$E$23,"Ambos")+COUNTIFS('S9'!$B$6:$B$15,$A67,'S9'!$E$6:$E$15,"Víctor")+COUNTIFS('S9'!$B$6:$B$15,$A67,'S9'!$E$6:$E$15,"Ambos")+COUNTIFS('S10'!$B$6:$B$13,$A67,'S10'!$E$6:$E$13,"Víctor")+COUNTIFS('S10'!$B$6:$B$13,$A67,'S10'!$E$6:$E$13,"Ambos")+COUNTIFS('Holgura'!$B$6:$B$11,$A67,'Holgura'!$E$6:$E$11,"Víctor")+COUNTIFS('Holgura'!$B$6:$B$11,$A67,'Holgura'!$E$6:$E$11,"Ambos")+COUNTIFS('Entrega'!$B$6:$B$9,$A67,'Entrega'!$E$6:$E$9,"Víctor")+COUNTIFS('Entrega'!$B$6:$B$9,$A67,'Entrega'!$E$6:$E$9,"Ambos")+COUNTIFS('Defensa'!$B$6:$B$10,$A67,'Defensa'!$E$6:$E$10,"Víctor")+COUNTIFS('Defensa'!$B$6:$B$10,$A67,'Defensa'!$E$6:$E$10,"Ambos")</f>
        <v/>
      </c>
      <c r="G67" s="21">
        <f>COUNTIFS('S1'!$B$6:$B$32,$A67,'S1'!$E$6:$E$32,"Diego")+COUNTIFS('S1'!$B$6:$B$32,$A67,'S1'!$E$6:$E$32,"Ambos")+COUNTIFS('S2'!$B$6:$B$23,$A67,'S2'!$E$6:$E$23,"Diego")+COUNTIFS('S2'!$B$6:$B$23,$A67,'S2'!$E$6:$E$23,"Ambos")+COUNTIFS('S3'!$B$6:$B$24,$A67,'S3'!$E$6:$E$24,"Diego")+COUNTIFS('S3'!$B$6:$B$24,$A67,'S3'!$E$6:$E$24,"Ambos")+COUNTIFS('S4'!$B$6:$B$22,$A67,'S4'!$E$6:$E$22,"Diego")+COUNTIFS('S4'!$B$6:$B$22,$A67,'S4'!$E$6:$E$22,"Ambos")+COUNTIFS('S5'!$B$6:$B$20,$A67,'S5'!$E$6:$E$20,"Diego")+COUNTIFS('S5'!$B$6:$B$20,$A67,'S5'!$E$6:$E$20,"Ambos")+COUNTIFS('S6'!$B$6:$B$17,$A67,'S6'!$E$6:$E$17,"Diego")+COUNTIFS('S6'!$B$6:$B$17,$A67,'S6'!$E$6:$E$17,"Ambos")+COUNTIFS('S7'!$B$6:$B$19,$A67,'S7'!$E$6:$E$19,"Diego")+COUNTIFS('S7'!$B$6:$B$19,$A67,'S7'!$E$6:$E$19,"Ambos")+COUNTIFS('S8'!$B$6:$B$23,$A67,'S8'!$E$6:$E$23,"Diego")+COUNTIFS('S8'!$B$6:$B$23,$A67,'S8'!$E$6:$E$23,"Ambos")+COUNTIFS('S9'!$B$6:$B$15,$A67,'S9'!$E$6:$E$15,"Diego")+COUNTIFS('S9'!$B$6:$B$15,$A67,'S9'!$E$6:$E$15,"Ambos")+COUNTIFS('S10'!$B$6:$B$13,$A67,'S10'!$E$6:$E$13,"Diego")+COUNTIFS('S10'!$B$6:$B$13,$A67,'S10'!$E$6:$E$13,"Ambos")+COUNTIFS('Holgura'!$B$6:$B$11,$A67,'Holgura'!$E$6:$E$11,"Diego")+COUNTIFS('Holgura'!$B$6:$B$11,$A67,'Holgura'!$E$6:$E$11,"Ambos")+COUNTIFS('Entrega'!$B$6:$B$9,$A67,'Entrega'!$E$6:$E$9,"Diego")+COUNTIFS('Entrega'!$B$6:$B$9,$A67,'Entrega'!$E$6:$E$9,"Ambos")+COUNTIFS('Defensa'!$B$6:$B$10,$A67,'Defensa'!$E$6:$E$10,"Diego")+COUNTIFS('Defensa'!$B$6:$B$10,$A67,'Defensa'!$E$6:$E$10,"Ambos")</f>
        <v/>
      </c>
    </row>
    <row r="68">
      <c r="A68" s="25" t="n">
        <v>46370</v>
      </c>
      <c r="B68" s="26">
        <f>A68</f>
        <v/>
      </c>
      <c r="C68" s="21">
        <f>IF(WEEKDAY(A68,2)&gt;5,4,2)</f>
        <v/>
      </c>
      <c r="D68" s="21">
        <f>SUMIFS('S1'!$I$6:$I$32,'S1'!$B$6:$B$32,$A68,'S1'!$E$6:$E$32,"Víctor")+SUMIFS('S1'!$I$6:$I$32,'S1'!$B$6:$B$32,$A68,'S1'!$E$6:$E$32,"Ambos")+SUMIFS('S2'!$I$6:$I$23,'S2'!$B$6:$B$23,$A68,'S2'!$E$6:$E$23,"Víctor")+SUMIFS('S2'!$I$6:$I$23,'S2'!$B$6:$B$23,$A68,'S2'!$E$6:$E$23,"Ambos")+SUMIFS('S3'!$I$6:$I$24,'S3'!$B$6:$B$24,$A68,'S3'!$E$6:$E$24,"Víctor")+SUMIFS('S3'!$I$6:$I$24,'S3'!$B$6:$B$24,$A68,'S3'!$E$6:$E$24,"Ambos")+SUMIFS('S4'!$I$6:$I$22,'S4'!$B$6:$B$22,$A68,'S4'!$E$6:$E$22,"Víctor")+SUMIFS('S4'!$I$6:$I$22,'S4'!$B$6:$B$22,$A68,'S4'!$E$6:$E$22,"Ambos")+SUMIFS('S5'!$I$6:$I$20,'S5'!$B$6:$B$20,$A68,'S5'!$E$6:$E$20,"Víctor")+SUMIFS('S5'!$I$6:$I$20,'S5'!$B$6:$B$20,$A68,'S5'!$E$6:$E$20,"Ambos")+SUMIFS('S6'!$I$6:$I$17,'S6'!$B$6:$B$17,$A68,'S6'!$E$6:$E$17,"Víctor")+SUMIFS('S6'!$I$6:$I$17,'S6'!$B$6:$B$17,$A68,'S6'!$E$6:$E$17,"Ambos")+SUMIFS('S7'!$I$6:$I$19,'S7'!$B$6:$B$19,$A68,'S7'!$E$6:$E$19,"Víctor")+SUMIFS('S7'!$I$6:$I$19,'S7'!$B$6:$B$19,$A68,'S7'!$E$6:$E$19,"Ambos")+SUMIFS('S8'!$I$6:$I$23,'S8'!$B$6:$B$23,$A68,'S8'!$E$6:$E$23,"Víctor")+SUMIFS('S8'!$I$6:$I$23,'S8'!$B$6:$B$23,$A68,'S8'!$E$6:$E$23,"Ambos")+SUMIFS('S9'!$I$6:$I$15,'S9'!$B$6:$B$15,$A68,'S9'!$E$6:$E$15,"Víctor")+SUMIFS('S9'!$I$6:$I$15,'S9'!$B$6:$B$15,$A68,'S9'!$E$6:$E$15,"Ambos")+SUMIFS('S10'!$I$6:$I$13,'S10'!$B$6:$B$13,$A68,'S10'!$E$6:$E$13,"Víctor")+SUMIFS('S10'!$I$6:$I$13,'S10'!$B$6:$B$13,$A68,'S10'!$E$6:$E$13,"Ambos")+SUMIFS('Holgura'!$I$6:$I$11,'Holgura'!$B$6:$B$11,$A68,'Holgura'!$E$6:$E$11,"Víctor")+SUMIFS('Holgura'!$I$6:$I$11,'Holgura'!$B$6:$B$11,$A68,'Holgura'!$E$6:$E$11,"Ambos")+SUMIFS('Entrega'!$I$6:$I$9,'Entrega'!$B$6:$B$9,$A68,'Entrega'!$E$6:$E$9,"Víctor")+SUMIFS('Entrega'!$I$6:$I$9,'Entrega'!$B$6:$B$9,$A68,'Entrega'!$E$6:$E$9,"Ambos")+SUMIFS('Defensa'!$I$6:$I$10,'Defensa'!$B$6:$B$10,$A68,'Defensa'!$E$6:$E$10,"Víctor")+SUMIFS('Defensa'!$I$6:$I$10,'Defensa'!$B$6:$B$10,$A68,'Defensa'!$E$6:$E$10,"Ambos")</f>
        <v/>
      </c>
      <c r="E68" s="21">
        <f>SUMIFS('S1'!$I$6:$I$32,'S1'!$B$6:$B$32,$A68,'S1'!$E$6:$E$32,"Diego")+SUMIFS('S1'!$I$6:$I$32,'S1'!$B$6:$B$32,$A68,'S1'!$E$6:$E$32,"Ambos")+SUMIFS('S2'!$I$6:$I$23,'S2'!$B$6:$B$23,$A68,'S2'!$E$6:$E$23,"Diego")+SUMIFS('S2'!$I$6:$I$23,'S2'!$B$6:$B$23,$A68,'S2'!$E$6:$E$23,"Ambos")+SUMIFS('S3'!$I$6:$I$24,'S3'!$B$6:$B$24,$A68,'S3'!$E$6:$E$24,"Diego")+SUMIFS('S3'!$I$6:$I$24,'S3'!$B$6:$B$24,$A68,'S3'!$E$6:$E$24,"Ambos")+SUMIFS('S4'!$I$6:$I$22,'S4'!$B$6:$B$22,$A68,'S4'!$E$6:$E$22,"Diego")+SUMIFS('S4'!$I$6:$I$22,'S4'!$B$6:$B$22,$A68,'S4'!$E$6:$E$22,"Ambos")+SUMIFS('S5'!$I$6:$I$20,'S5'!$B$6:$B$20,$A68,'S5'!$E$6:$E$20,"Diego")+SUMIFS('S5'!$I$6:$I$20,'S5'!$B$6:$B$20,$A68,'S5'!$E$6:$E$20,"Ambos")+SUMIFS('S6'!$I$6:$I$17,'S6'!$B$6:$B$17,$A68,'S6'!$E$6:$E$17,"Diego")+SUMIFS('S6'!$I$6:$I$17,'S6'!$B$6:$B$17,$A68,'S6'!$E$6:$E$17,"Ambos")+SUMIFS('S7'!$I$6:$I$19,'S7'!$B$6:$B$19,$A68,'S7'!$E$6:$E$19,"Diego")+SUMIFS('S7'!$I$6:$I$19,'S7'!$B$6:$B$19,$A68,'S7'!$E$6:$E$19,"Ambos")+SUMIFS('S8'!$I$6:$I$23,'S8'!$B$6:$B$23,$A68,'S8'!$E$6:$E$23,"Diego")+SUMIFS('S8'!$I$6:$I$23,'S8'!$B$6:$B$23,$A68,'S8'!$E$6:$E$23,"Ambos")+SUMIFS('S9'!$I$6:$I$15,'S9'!$B$6:$B$15,$A68,'S9'!$E$6:$E$15,"Diego")+SUMIFS('S9'!$I$6:$I$15,'S9'!$B$6:$B$15,$A68,'S9'!$E$6:$E$15,"Ambos")+SUMIFS('S10'!$I$6:$I$13,'S10'!$B$6:$B$13,$A68,'S10'!$E$6:$E$13,"Diego")+SUMIFS('S10'!$I$6:$I$13,'S10'!$B$6:$B$13,$A68,'S10'!$E$6:$E$13,"Ambos")+SUMIFS('Holgura'!$I$6:$I$11,'Holgura'!$B$6:$B$11,$A68,'Holgura'!$E$6:$E$11,"Diego")+SUMIFS('Holgura'!$I$6:$I$11,'Holgura'!$B$6:$B$11,$A68,'Holgura'!$E$6:$E$11,"Ambos")+SUMIFS('Entrega'!$I$6:$I$9,'Entrega'!$B$6:$B$9,$A68,'Entrega'!$E$6:$E$9,"Diego")+SUMIFS('Entrega'!$I$6:$I$9,'Entrega'!$B$6:$B$9,$A68,'Entrega'!$E$6:$E$9,"Ambos")+SUMIFS('Defensa'!$I$6:$I$10,'Defensa'!$B$6:$B$10,$A68,'Defensa'!$E$6:$E$10,"Diego")+SUMIFS('Defensa'!$I$6:$I$10,'Defensa'!$B$6:$B$10,$A68,'Defensa'!$E$6:$E$10,"Ambos")</f>
        <v/>
      </c>
      <c r="F68" s="21">
        <f>COUNTIFS('S1'!$B$6:$B$32,$A68,'S1'!$E$6:$E$32,"Víctor")+COUNTIFS('S1'!$B$6:$B$32,$A68,'S1'!$E$6:$E$32,"Ambos")+COUNTIFS('S2'!$B$6:$B$23,$A68,'S2'!$E$6:$E$23,"Víctor")+COUNTIFS('S2'!$B$6:$B$23,$A68,'S2'!$E$6:$E$23,"Ambos")+COUNTIFS('S3'!$B$6:$B$24,$A68,'S3'!$E$6:$E$24,"Víctor")+COUNTIFS('S3'!$B$6:$B$24,$A68,'S3'!$E$6:$E$24,"Ambos")+COUNTIFS('S4'!$B$6:$B$22,$A68,'S4'!$E$6:$E$22,"Víctor")+COUNTIFS('S4'!$B$6:$B$22,$A68,'S4'!$E$6:$E$22,"Ambos")+COUNTIFS('S5'!$B$6:$B$20,$A68,'S5'!$E$6:$E$20,"Víctor")+COUNTIFS('S5'!$B$6:$B$20,$A68,'S5'!$E$6:$E$20,"Ambos")+COUNTIFS('S6'!$B$6:$B$17,$A68,'S6'!$E$6:$E$17,"Víctor")+COUNTIFS('S6'!$B$6:$B$17,$A68,'S6'!$E$6:$E$17,"Ambos")+COUNTIFS('S7'!$B$6:$B$19,$A68,'S7'!$E$6:$E$19,"Víctor")+COUNTIFS('S7'!$B$6:$B$19,$A68,'S7'!$E$6:$E$19,"Ambos")+COUNTIFS('S8'!$B$6:$B$23,$A68,'S8'!$E$6:$E$23,"Víctor")+COUNTIFS('S8'!$B$6:$B$23,$A68,'S8'!$E$6:$E$23,"Ambos")+COUNTIFS('S9'!$B$6:$B$15,$A68,'S9'!$E$6:$E$15,"Víctor")+COUNTIFS('S9'!$B$6:$B$15,$A68,'S9'!$E$6:$E$15,"Ambos")+COUNTIFS('S10'!$B$6:$B$13,$A68,'S10'!$E$6:$E$13,"Víctor")+COUNTIFS('S10'!$B$6:$B$13,$A68,'S10'!$E$6:$E$13,"Ambos")+COUNTIFS('Holgura'!$B$6:$B$11,$A68,'Holgura'!$E$6:$E$11,"Víctor")+COUNTIFS('Holgura'!$B$6:$B$11,$A68,'Holgura'!$E$6:$E$11,"Ambos")+COUNTIFS('Entrega'!$B$6:$B$9,$A68,'Entrega'!$E$6:$E$9,"Víctor")+COUNTIFS('Entrega'!$B$6:$B$9,$A68,'Entrega'!$E$6:$E$9,"Ambos")+COUNTIFS('Defensa'!$B$6:$B$10,$A68,'Defensa'!$E$6:$E$10,"Víctor")+COUNTIFS('Defensa'!$B$6:$B$10,$A68,'Defensa'!$E$6:$E$10,"Ambos")</f>
        <v/>
      </c>
      <c r="G68" s="21">
        <f>COUNTIFS('S1'!$B$6:$B$32,$A68,'S1'!$E$6:$E$32,"Diego")+COUNTIFS('S1'!$B$6:$B$32,$A68,'S1'!$E$6:$E$32,"Ambos")+COUNTIFS('S2'!$B$6:$B$23,$A68,'S2'!$E$6:$E$23,"Diego")+COUNTIFS('S2'!$B$6:$B$23,$A68,'S2'!$E$6:$E$23,"Ambos")+COUNTIFS('S3'!$B$6:$B$24,$A68,'S3'!$E$6:$E$24,"Diego")+COUNTIFS('S3'!$B$6:$B$24,$A68,'S3'!$E$6:$E$24,"Ambos")+COUNTIFS('S4'!$B$6:$B$22,$A68,'S4'!$E$6:$E$22,"Diego")+COUNTIFS('S4'!$B$6:$B$22,$A68,'S4'!$E$6:$E$22,"Ambos")+COUNTIFS('S5'!$B$6:$B$20,$A68,'S5'!$E$6:$E$20,"Diego")+COUNTIFS('S5'!$B$6:$B$20,$A68,'S5'!$E$6:$E$20,"Ambos")+COUNTIFS('S6'!$B$6:$B$17,$A68,'S6'!$E$6:$E$17,"Diego")+COUNTIFS('S6'!$B$6:$B$17,$A68,'S6'!$E$6:$E$17,"Ambos")+COUNTIFS('S7'!$B$6:$B$19,$A68,'S7'!$E$6:$E$19,"Diego")+COUNTIFS('S7'!$B$6:$B$19,$A68,'S7'!$E$6:$E$19,"Ambos")+COUNTIFS('S8'!$B$6:$B$23,$A68,'S8'!$E$6:$E$23,"Diego")+COUNTIFS('S8'!$B$6:$B$23,$A68,'S8'!$E$6:$E$23,"Ambos")+COUNTIFS('S9'!$B$6:$B$15,$A68,'S9'!$E$6:$E$15,"Diego")+COUNTIFS('S9'!$B$6:$B$15,$A68,'S9'!$E$6:$E$15,"Ambos")+COUNTIFS('S10'!$B$6:$B$13,$A68,'S10'!$E$6:$E$13,"Diego")+COUNTIFS('S10'!$B$6:$B$13,$A68,'S10'!$E$6:$E$13,"Ambos")+COUNTIFS('Holgura'!$B$6:$B$11,$A68,'Holgura'!$E$6:$E$11,"Diego")+COUNTIFS('Holgura'!$B$6:$B$11,$A68,'Holgura'!$E$6:$E$11,"Ambos")+COUNTIFS('Entrega'!$B$6:$B$9,$A68,'Entrega'!$E$6:$E$9,"Diego")+COUNTIFS('Entrega'!$B$6:$B$9,$A68,'Entrega'!$E$6:$E$9,"Ambos")+COUNTIFS('Defensa'!$B$6:$B$10,$A68,'Defensa'!$E$6:$E$10,"Diego")+COUNTIFS('Defensa'!$B$6:$B$10,$A68,'Defensa'!$E$6:$E$10,"Ambos")</f>
        <v/>
      </c>
    </row>
    <row r="69">
      <c r="A69" s="25" t="n">
        <v>46371</v>
      </c>
      <c r="B69" s="26">
        <f>A69</f>
        <v/>
      </c>
      <c r="C69" s="21">
        <f>IF(WEEKDAY(A69,2)&gt;5,4,2)</f>
        <v/>
      </c>
      <c r="D69" s="21">
        <f>SUMIFS('S1'!$I$6:$I$32,'S1'!$B$6:$B$32,$A69,'S1'!$E$6:$E$32,"Víctor")+SUMIFS('S1'!$I$6:$I$32,'S1'!$B$6:$B$32,$A69,'S1'!$E$6:$E$32,"Ambos")+SUMIFS('S2'!$I$6:$I$23,'S2'!$B$6:$B$23,$A69,'S2'!$E$6:$E$23,"Víctor")+SUMIFS('S2'!$I$6:$I$23,'S2'!$B$6:$B$23,$A69,'S2'!$E$6:$E$23,"Ambos")+SUMIFS('S3'!$I$6:$I$24,'S3'!$B$6:$B$24,$A69,'S3'!$E$6:$E$24,"Víctor")+SUMIFS('S3'!$I$6:$I$24,'S3'!$B$6:$B$24,$A69,'S3'!$E$6:$E$24,"Ambos")+SUMIFS('S4'!$I$6:$I$22,'S4'!$B$6:$B$22,$A69,'S4'!$E$6:$E$22,"Víctor")+SUMIFS('S4'!$I$6:$I$22,'S4'!$B$6:$B$22,$A69,'S4'!$E$6:$E$22,"Ambos")+SUMIFS('S5'!$I$6:$I$20,'S5'!$B$6:$B$20,$A69,'S5'!$E$6:$E$20,"Víctor")+SUMIFS('S5'!$I$6:$I$20,'S5'!$B$6:$B$20,$A69,'S5'!$E$6:$E$20,"Ambos")+SUMIFS('S6'!$I$6:$I$17,'S6'!$B$6:$B$17,$A69,'S6'!$E$6:$E$17,"Víctor")+SUMIFS('S6'!$I$6:$I$17,'S6'!$B$6:$B$17,$A69,'S6'!$E$6:$E$17,"Ambos")+SUMIFS('S7'!$I$6:$I$19,'S7'!$B$6:$B$19,$A69,'S7'!$E$6:$E$19,"Víctor")+SUMIFS('S7'!$I$6:$I$19,'S7'!$B$6:$B$19,$A69,'S7'!$E$6:$E$19,"Ambos")+SUMIFS('S8'!$I$6:$I$23,'S8'!$B$6:$B$23,$A69,'S8'!$E$6:$E$23,"Víctor")+SUMIFS('S8'!$I$6:$I$23,'S8'!$B$6:$B$23,$A69,'S8'!$E$6:$E$23,"Ambos")+SUMIFS('S9'!$I$6:$I$15,'S9'!$B$6:$B$15,$A69,'S9'!$E$6:$E$15,"Víctor")+SUMIFS('S9'!$I$6:$I$15,'S9'!$B$6:$B$15,$A69,'S9'!$E$6:$E$15,"Ambos")+SUMIFS('S10'!$I$6:$I$13,'S10'!$B$6:$B$13,$A69,'S10'!$E$6:$E$13,"Víctor")+SUMIFS('S10'!$I$6:$I$13,'S10'!$B$6:$B$13,$A69,'S10'!$E$6:$E$13,"Ambos")+SUMIFS('Holgura'!$I$6:$I$11,'Holgura'!$B$6:$B$11,$A69,'Holgura'!$E$6:$E$11,"Víctor")+SUMIFS('Holgura'!$I$6:$I$11,'Holgura'!$B$6:$B$11,$A69,'Holgura'!$E$6:$E$11,"Ambos")+SUMIFS('Entrega'!$I$6:$I$9,'Entrega'!$B$6:$B$9,$A69,'Entrega'!$E$6:$E$9,"Víctor")+SUMIFS('Entrega'!$I$6:$I$9,'Entrega'!$B$6:$B$9,$A69,'Entrega'!$E$6:$E$9,"Ambos")+SUMIFS('Defensa'!$I$6:$I$10,'Defensa'!$B$6:$B$10,$A69,'Defensa'!$E$6:$E$10,"Víctor")+SUMIFS('Defensa'!$I$6:$I$10,'Defensa'!$B$6:$B$10,$A69,'Defensa'!$E$6:$E$10,"Ambos")</f>
        <v/>
      </c>
      <c r="E69" s="21">
        <f>SUMIFS('S1'!$I$6:$I$32,'S1'!$B$6:$B$32,$A69,'S1'!$E$6:$E$32,"Diego")+SUMIFS('S1'!$I$6:$I$32,'S1'!$B$6:$B$32,$A69,'S1'!$E$6:$E$32,"Ambos")+SUMIFS('S2'!$I$6:$I$23,'S2'!$B$6:$B$23,$A69,'S2'!$E$6:$E$23,"Diego")+SUMIFS('S2'!$I$6:$I$23,'S2'!$B$6:$B$23,$A69,'S2'!$E$6:$E$23,"Ambos")+SUMIFS('S3'!$I$6:$I$24,'S3'!$B$6:$B$24,$A69,'S3'!$E$6:$E$24,"Diego")+SUMIFS('S3'!$I$6:$I$24,'S3'!$B$6:$B$24,$A69,'S3'!$E$6:$E$24,"Ambos")+SUMIFS('S4'!$I$6:$I$22,'S4'!$B$6:$B$22,$A69,'S4'!$E$6:$E$22,"Diego")+SUMIFS('S4'!$I$6:$I$22,'S4'!$B$6:$B$22,$A69,'S4'!$E$6:$E$22,"Ambos")+SUMIFS('S5'!$I$6:$I$20,'S5'!$B$6:$B$20,$A69,'S5'!$E$6:$E$20,"Diego")+SUMIFS('S5'!$I$6:$I$20,'S5'!$B$6:$B$20,$A69,'S5'!$E$6:$E$20,"Ambos")+SUMIFS('S6'!$I$6:$I$17,'S6'!$B$6:$B$17,$A69,'S6'!$E$6:$E$17,"Diego")+SUMIFS('S6'!$I$6:$I$17,'S6'!$B$6:$B$17,$A69,'S6'!$E$6:$E$17,"Ambos")+SUMIFS('S7'!$I$6:$I$19,'S7'!$B$6:$B$19,$A69,'S7'!$E$6:$E$19,"Diego")+SUMIFS('S7'!$I$6:$I$19,'S7'!$B$6:$B$19,$A69,'S7'!$E$6:$E$19,"Ambos")+SUMIFS('S8'!$I$6:$I$23,'S8'!$B$6:$B$23,$A69,'S8'!$E$6:$E$23,"Diego")+SUMIFS('S8'!$I$6:$I$23,'S8'!$B$6:$B$23,$A69,'S8'!$E$6:$E$23,"Ambos")+SUMIFS('S9'!$I$6:$I$15,'S9'!$B$6:$B$15,$A69,'S9'!$E$6:$E$15,"Diego")+SUMIFS('S9'!$I$6:$I$15,'S9'!$B$6:$B$15,$A69,'S9'!$E$6:$E$15,"Ambos")+SUMIFS('S10'!$I$6:$I$13,'S10'!$B$6:$B$13,$A69,'S10'!$E$6:$E$13,"Diego")+SUMIFS('S10'!$I$6:$I$13,'S10'!$B$6:$B$13,$A69,'S10'!$E$6:$E$13,"Ambos")+SUMIFS('Holgura'!$I$6:$I$11,'Holgura'!$B$6:$B$11,$A69,'Holgura'!$E$6:$E$11,"Diego")+SUMIFS('Holgura'!$I$6:$I$11,'Holgura'!$B$6:$B$11,$A69,'Holgura'!$E$6:$E$11,"Ambos")+SUMIFS('Entrega'!$I$6:$I$9,'Entrega'!$B$6:$B$9,$A69,'Entrega'!$E$6:$E$9,"Diego")+SUMIFS('Entrega'!$I$6:$I$9,'Entrega'!$B$6:$B$9,$A69,'Entrega'!$E$6:$E$9,"Ambos")+SUMIFS('Defensa'!$I$6:$I$10,'Defensa'!$B$6:$B$10,$A69,'Defensa'!$E$6:$E$10,"Diego")+SUMIFS('Defensa'!$I$6:$I$10,'Defensa'!$B$6:$B$10,$A69,'Defensa'!$E$6:$E$10,"Ambos")</f>
        <v/>
      </c>
      <c r="F69" s="21">
        <f>COUNTIFS('S1'!$B$6:$B$32,$A69,'S1'!$E$6:$E$32,"Víctor")+COUNTIFS('S1'!$B$6:$B$32,$A69,'S1'!$E$6:$E$32,"Ambos")+COUNTIFS('S2'!$B$6:$B$23,$A69,'S2'!$E$6:$E$23,"Víctor")+COUNTIFS('S2'!$B$6:$B$23,$A69,'S2'!$E$6:$E$23,"Ambos")+COUNTIFS('S3'!$B$6:$B$24,$A69,'S3'!$E$6:$E$24,"Víctor")+COUNTIFS('S3'!$B$6:$B$24,$A69,'S3'!$E$6:$E$24,"Ambos")+COUNTIFS('S4'!$B$6:$B$22,$A69,'S4'!$E$6:$E$22,"Víctor")+COUNTIFS('S4'!$B$6:$B$22,$A69,'S4'!$E$6:$E$22,"Ambos")+COUNTIFS('S5'!$B$6:$B$20,$A69,'S5'!$E$6:$E$20,"Víctor")+COUNTIFS('S5'!$B$6:$B$20,$A69,'S5'!$E$6:$E$20,"Ambos")+COUNTIFS('S6'!$B$6:$B$17,$A69,'S6'!$E$6:$E$17,"Víctor")+COUNTIFS('S6'!$B$6:$B$17,$A69,'S6'!$E$6:$E$17,"Ambos")+COUNTIFS('S7'!$B$6:$B$19,$A69,'S7'!$E$6:$E$19,"Víctor")+COUNTIFS('S7'!$B$6:$B$19,$A69,'S7'!$E$6:$E$19,"Ambos")+COUNTIFS('S8'!$B$6:$B$23,$A69,'S8'!$E$6:$E$23,"Víctor")+COUNTIFS('S8'!$B$6:$B$23,$A69,'S8'!$E$6:$E$23,"Ambos")+COUNTIFS('S9'!$B$6:$B$15,$A69,'S9'!$E$6:$E$15,"Víctor")+COUNTIFS('S9'!$B$6:$B$15,$A69,'S9'!$E$6:$E$15,"Ambos")+COUNTIFS('S10'!$B$6:$B$13,$A69,'S10'!$E$6:$E$13,"Víctor")+COUNTIFS('S10'!$B$6:$B$13,$A69,'S10'!$E$6:$E$13,"Ambos")+COUNTIFS('Holgura'!$B$6:$B$11,$A69,'Holgura'!$E$6:$E$11,"Víctor")+COUNTIFS('Holgura'!$B$6:$B$11,$A69,'Holgura'!$E$6:$E$11,"Ambos")+COUNTIFS('Entrega'!$B$6:$B$9,$A69,'Entrega'!$E$6:$E$9,"Víctor")+COUNTIFS('Entrega'!$B$6:$B$9,$A69,'Entrega'!$E$6:$E$9,"Ambos")+COUNTIFS('Defensa'!$B$6:$B$10,$A69,'Defensa'!$E$6:$E$10,"Víctor")+COUNTIFS('Defensa'!$B$6:$B$10,$A69,'Defensa'!$E$6:$E$10,"Ambos")</f>
        <v/>
      </c>
      <c r="G69" s="21">
        <f>COUNTIFS('S1'!$B$6:$B$32,$A69,'S1'!$E$6:$E$32,"Diego")+COUNTIFS('S1'!$B$6:$B$32,$A69,'S1'!$E$6:$E$32,"Ambos")+COUNTIFS('S2'!$B$6:$B$23,$A69,'S2'!$E$6:$E$23,"Diego")+COUNTIFS('S2'!$B$6:$B$23,$A69,'S2'!$E$6:$E$23,"Ambos")+COUNTIFS('S3'!$B$6:$B$24,$A69,'S3'!$E$6:$E$24,"Diego")+COUNTIFS('S3'!$B$6:$B$24,$A69,'S3'!$E$6:$E$24,"Ambos")+COUNTIFS('S4'!$B$6:$B$22,$A69,'S4'!$E$6:$E$22,"Diego")+COUNTIFS('S4'!$B$6:$B$22,$A69,'S4'!$E$6:$E$22,"Ambos")+COUNTIFS('S5'!$B$6:$B$20,$A69,'S5'!$E$6:$E$20,"Diego")+COUNTIFS('S5'!$B$6:$B$20,$A69,'S5'!$E$6:$E$20,"Ambos")+COUNTIFS('S6'!$B$6:$B$17,$A69,'S6'!$E$6:$E$17,"Diego")+COUNTIFS('S6'!$B$6:$B$17,$A69,'S6'!$E$6:$E$17,"Ambos")+COUNTIFS('S7'!$B$6:$B$19,$A69,'S7'!$E$6:$E$19,"Diego")+COUNTIFS('S7'!$B$6:$B$19,$A69,'S7'!$E$6:$E$19,"Ambos")+COUNTIFS('S8'!$B$6:$B$23,$A69,'S8'!$E$6:$E$23,"Diego")+COUNTIFS('S8'!$B$6:$B$23,$A69,'S8'!$E$6:$E$23,"Ambos")+COUNTIFS('S9'!$B$6:$B$15,$A69,'S9'!$E$6:$E$15,"Diego")+COUNTIFS('S9'!$B$6:$B$15,$A69,'S9'!$E$6:$E$15,"Ambos")+COUNTIFS('S10'!$B$6:$B$13,$A69,'S10'!$E$6:$E$13,"Diego")+COUNTIFS('S10'!$B$6:$B$13,$A69,'S10'!$E$6:$E$13,"Ambos")+COUNTIFS('Holgura'!$B$6:$B$11,$A69,'Holgura'!$E$6:$E$11,"Diego")+COUNTIFS('Holgura'!$B$6:$B$11,$A69,'Holgura'!$E$6:$E$11,"Ambos")+COUNTIFS('Entrega'!$B$6:$B$9,$A69,'Entrega'!$E$6:$E$9,"Diego")+COUNTIFS('Entrega'!$B$6:$B$9,$A69,'Entrega'!$E$6:$E$9,"Ambos")+COUNTIFS('Defensa'!$B$6:$B$10,$A69,'Defensa'!$E$6:$E$10,"Diego")+COUNTIFS('Defensa'!$B$6:$B$10,$A69,'Defensa'!$E$6:$E$10,"Ambos")</f>
        <v/>
      </c>
    </row>
    <row r="70">
      <c r="A70" s="25" t="n">
        <v>46372</v>
      </c>
      <c r="B70" s="26">
        <f>A70</f>
        <v/>
      </c>
      <c r="C70" s="21">
        <f>IF(WEEKDAY(A70,2)&gt;5,4,2)</f>
        <v/>
      </c>
      <c r="D70" s="21">
        <f>SUMIFS('S1'!$I$6:$I$32,'S1'!$B$6:$B$32,$A70,'S1'!$E$6:$E$32,"Víctor")+SUMIFS('S1'!$I$6:$I$32,'S1'!$B$6:$B$32,$A70,'S1'!$E$6:$E$32,"Ambos")+SUMIFS('S2'!$I$6:$I$23,'S2'!$B$6:$B$23,$A70,'S2'!$E$6:$E$23,"Víctor")+SUMIFS('S2'!$I$6:$I$23,'S2'!$B$6:$B$23,$A70,'S2'!$E$6:$E$23,"Ambos")+SUMIFS('S3'!$I$6:$I$24,'S3'!$B$6:$B$24,$A70,'S3'!$E$6:$E$24,"Víctor")+SUMIFS('S3'!$I$6:$I$24,'S3'!$B$6:$B$24,$A70,'S3'!$E$6:$E$24,"Ambos")+SUMIFS('S4'!$I$6:$I$22,'S4'!$B$6:$B$22,$A70,'S4'!$E$6:$E$22,"Víctor")+SUMIFS('S4'!$I$6:$I$22,'S4'!$B$6:$B$22,$A70,'S4'!$E$6:$E$22,"Ambos")+SUMIFS('S5'!$I$6:$I$20,'S5'!$B$6:$B$20,$A70,'S5'!$E$6:$E$20,"Víctor")+SUMIFS('S5'!$I$6:$I$20,'S5'!$B$6:$B$20,$A70,'S5'!$E$6:$E$20,"Ambos")+SUMIFS('S6'!$I$6:$I$17,'S6'!$B$6:$B$17,$A70,'S6'!$E$6:$E$17,"Víctor")+SUMIFS('S6'!$I$6:$I$17,'S6'!$B$6:$B$17,$A70,'S6'!$E$6:$E$17,"Ambos")+SUMIFS('S7'!$I$6:$I$19,'S7'!$B$6:$B$19,$A70,'S7'!$E$6:$E$19,"Víctor")+SUMIFS('S7'!$I$6:$I$19,'S7'!$B$6:$B$19,$A70,'S7'!$E$6:$E$19,"Ambos")+SUMIFS('S8'!$I$6:$I$23,'S8'!$B$6:$B$23,$A70,'S8'!$E$6:$E$23,"Víctor")+SUMIFS('S8'!$I$6:$I$23,'S8'!$B$6:$B$23,$A70,'S8'!$E$6:$E$23,"Ambos")+SUMIFS('S9'!$I$6:$I$15,'S9'!$B$6:$B$15,$A70,'S9'!$E$6:$E$15,"Víctor")+SUMIFS('S9'!$I$6:$I$15,'S9'!$B$6:$B$15,$A70,'S9'!$E$6:$E$15,"Ambos")+SUMIFS('S10'!$I$6:$I$13,'S10'!$B$6:$B$13,$A70,'S10'!$E$6:$E$13,"Víctor")+SUMIFS('S10'!$I$6:$I$13,'S10'!$B$6:$B$13,$A70,'S10'!$E$6:$E$13,"Ambos")+SUMIFS('Holgura'!$I$6:$I$11,'Holgura'!$B$6:$B$11,$A70,'Holgura'!$E$6:$E$11,"Víctor")+SUMIFS('Holgura'!$I$6:$I$11,'Holgura'!$B$6:$B$11,$A70,'Holgura'!$E$6:$E$11,"Ambos")+SUMIFS('Entrega'!$I$6:$I$9,'Entrega'!$B$6:$B$9,$A70,'Entrega'!$E$6:$E$9,"Víctor")+SUMIFS('Entrega'!$I$6:$I$9,'Entrega'!$B$6:$B$9,$A70,'Entrega'!$E$6:$E$9,"Ambos")+SUMIFS('Defensa'!$I$6:$I$10,'Defensa'!$B$6:$B$10,$A70,'Defensa'!$E$6:$E$10,"Víctor")+SUMIFS('Defensa'!$I$6:$I$10,'Defensa'!$B$6:$B$10,$A70,'Defensa'!$E$6:$E$10,"Ambos")</f>
        <v/>
      </c>
      <c r="E70" s="21">
        <f>SUMIFS('S1'!$I$6:$I$32,'S1'!$B$6:$B$32,$A70,'S1'!$E$6:$E$32,"Diego")+SUMIFS('S1'!$I$6:$I$32,'S1'!$B$6:$B$32,$A70,'S1'!$E$6:$E$32,"Ambos")+SUMIFS('S2'!$I$6:$I$23,'S2'!$B$6:$B$23,$A70,'S2'!$E$6:$E$23,"Diego")+SUMIFS('S2'!$I$6:$I$23,'S2'!$B$6:$B$23,$A70,'S2'!$E$6:$E$23,"Ambos")+SUMIFS('S3'!$I$6:$I$24,'S3'!$B$6:$B$24,$A70,'S3'!$E$6:$E$24,"Diego")+SUMIFS('S3'!$I$6:$I$24,'S3'!$B$6:$B$24,$A70,'S3'!$E$6:$E$24,"Ambos")+SUMIFS('S4'!$I$6:$I$22,'S4'!$B$6:$B$22,$A70,'S4'!$E$6:$E$22,"Diego")+SUMIFS('S4'!$I$6:$I$22,'S4'!$B$6:$B$22,$A70,'S4'!$E$6:$E$22,"Ambos")+SUMIFS('S5'!$I$6:$I$20,'S5'!$B$6:$B$20,$A70,'S5'!$E$6:$E$20,"Diego")+SUMIFS('S5'!$I$6:$I$20,'S5'!$B$6:$B$20,$A70,'S5'!$E$6:$E$20,"Ambos")+SUMIFS('S6'!$I$6:$I$17,'S6'!$B$6:$B$17,$A70,'S6'!$E$6:$E$17,"Diego")+SUMIFS('S6'!$I$6:$I$17,'S6'!$B$6:$B$17,$A70,'S6'!$E$6:$E$17,"Ambos")+SUMIFS('S7'!$I$6:$I$19,'S7'!$B$6:$B$19,$A70,'S7'!$E$6:$E$19,"Diego")+SUMIFS('S7'!$I$6:$I$19,'S7'!$B$6:$B$19,$A70,'S7'!$E$6:$E$19,"Ambos")+SUMIFS('S8'!$I$6:$I$23,'S8'!$B$6:$B$23,$A70,'S8'!$E$6:$E$23,"Diego")+SUMIFS('S8'!$I$6:$I$23,'S8'!$B$6:$B$23,$A70,'S8'!$E$6:$E$23,"Ambos")+SUMIFS('S9'!$I$6:$I$15,'S9'!$B$6:$B$15,$A70,'S9'!$E$6:$E$15,"Diego")+SUMIFS('S9'!$I$6:$I$15,'S9'!$B$6:$B$15,$A70,'S9'!$E$6:$E$15,"Ambos")+SUMIFS('S10'!$I$6:$I$13,'S10'!$B$6:$B$13,$A70,'S10'!$E$6:$E$13,"Diego")+SUMIFS('S10'!$I$6:$I$13,'S10'!$B$6:$B$13,$A70,'S10'!$E$6:$E$13,"Ambos")+SUMIFS('Holgura'!$I$6:$I$11,'Holgura'!$B$6:$B$11,$A70,'Holgura'!$E$6:$E$11,"Diego")+SUMIFS('Holgura'!$I$6:$I$11,'Holgura'!$B$6:$B$11,$A70,'Holgura'!$E$6:$E$11,"Ambos")+SUMIFS('Entrega'!$I$6:$I$9,'Entrega'!$B$6:$B$9,$A70,'Entrega'!$E$6:$E$9,"Diego")+SUMIFS('Entrega'!$I$6:$I$9,'Entrega'!$B$6:$B$9,$A70,'Entrega'!$E$6:$E$9,"Ambos")+SUMIFS('Defensa'!$I$6:$I$10,'Defensa'!$B$6:$B$10,$A70,'Defensa'!$E$6:$E$10,"Diego")+SUMIFS('Defensa'!$I$6:$I$10,'Defensa'!$B$6:$B$10,$A70,'Defensa'!$E$6:$E$10,"Ambos")</f>
        <v/>
      </c>
      <c r="F70" s="21">
        <f>COUNTIFS('S1'!$B$6:$B$32,$A70,'S1'!$E$6:$E$32,"Víctor")+COUNTIFS('S1'!$B$6:$B$32,$A70,'S1'!$E$6:$E$32,"Ambos")+COUNTIFS('S2'!$B$6:$B$23,$A70,'S2'!$E$6:$E$23,"Víctor")+COUNTIFS('S2'!$B$6:$B$23,$A70,'S2'!$E$6:$E$23,"Ambos")+COUNTIFS('S3'!$B$6:$B$24,$A70,'S3'!$E$6:$E$24,"Víctor")+COUNTIFS('S3'!$B$6:$B$24,$A70,'S3'!$E$6:$E$24,"Ambos")+COUNTIFS('S4'!$B$6:$B$22,$A70,'S4'!$E$6:$E$22,"Víctor")+COUNTIFS('S4'!$B$6:$B$22,$A70,'S4'!$E$6:$E$22,"Ambos")+COUNTIFS('S5'!$B$6:$B$20,$A70,'S5'!$E$6:$E$20,"Víctor")+COUNTIFS('S5'!$B$6:$B$20,$A70,'S5'!$E$6:$E$20,"Ambos")+COUNTIFS('S6'!$B$6:$B$17,$A70,'S6'!$E$6:$E$17,"Víctor")+COUNTIFS('S6'!$B$6:$B$17,$A70,'S6'!$E$6:$E$17,"Ambos")+COUNTIFS('S7'!$B$6:$B$19,$A70,'S7'!$E$6:$E$19,"Víctor")+COUNTIFS('S7'!$B$6:$B$19,$A70,'S7'!$E$6:$E$19,"Ambos")+COUNTIFS('S8'!$B$6:$B$23,$A70,'S8'!$E$6:$E$23,"Víctor")+COUNTIFS('S8'!$B$6:$B$23,$A70,'S8'!$E$6:$E$23,"Ambos")+COUNTIFS('S9'!$B$6:$B$15,$A70,'S9'!$E$6:$E$15,"Víctor")+COUNTIFS('S9'!$B$6:$B$15,$A70,'S9'!$E$6:$E$15,"Ambos")+COUNTIFS('S10'!$B$6:$B$13,$A70,'S10'!$E$6:$E$13,"Víctor")+COUNTIFS('S10'!$B$6:$B$13,$A70,'S10'!$E$6:$E$13,"Ambos")+COUNTIFS('Holgura'!$B$6:$B$11,$A70,'Holgura'!$E$6:$E$11,"Víctor")+COUNTIFS('Holgura'!$B$6:$B$11,$A70,'Holgura'!$E$6:$E$11,"Ambos")+COUNTIFS('Entrega'!$B$6:$B$9,$A70,'Entrega'!$E$6:$E$9,"Víctor")+COUNTIFS('Entrega'!$B$6:$B$9,$A70,'Entrega'!$E$6:$E$9,"Ambos")+COUNTIFS('Defensa'!$B$6:$B$10,$A70,'Defensa'!$E$6:$E$10,"Víctor")+COUNTIFS('Defensa'!$B$6:$B$10,$A70,'Defensa'!$E$6:$E$10,"Ambos")</f>
        <v/>
      </c>
      <c r="G70" s="21">
        <f>COUNTIFS('S1'!$B$6:$B$32,$A70,'S1'!$E$6:$E$32,"Diego")+COUNTIFS('S1'!$B$6:$B$32,$A70,'S1'!$E$6:$E$32,"Ambos")+COUNTIFS('S2'!$B$6:$B$23,$A70,'S2'!$E$6:$E$23,"Diego")+COUNTIFS('S2'!$B$6:$B$23,$A70,'S2'!$E$6:$E$23,"Ambos")+COUNTIFS('S3'!$B$6:$B$24,$A70,'S3'!$E$6:$E$24,"Diego")+COUNTIFS('S3'!$B$6:$B$24,$A70,'S3'!$E$6:$E$24,"Ambos")+COUNTIFS('S4'!$B$6:$B$22,$A70,'S4'!$E$6:$E$22,"Diego")+COUNTIFS('S4'!$B$6:$B$22,$A70,'S4'!$E$6:$E$22,"Ambos")+COUNTIFS('S5'!$B$6:$B$20,$A70,'S5'!$E$6:$E$20,"Diego")+COUNTIFS('S5'!$B$6:$B$20,$A70,'S5'!$E$6:$E$20,"Ambos")+COUNTIFS('S6'!$B$6:$B$17,$A70,'S6'!$E$6:$E$17,"Diego")+COUNTIFS('S6'!$B$6:$B$17,$A70,'S6'!$E$6:$E$17,"Ambos")+COUNTIFS('S7'!$B$6:$B$19,$A70,'S7'!$E$6:$E$19,"Diego")+COUNTIFS('S7'!$B$6:$B$19,$A70,'S7'!$E$6:$E$19,"Ambos")+COUNTIFS('S8'!$B$6:$B$23,$A70,'S8'!$E$6:$E$23,"Diego")+COUNTIFS('S8'!$B$6:$B$23,$A70,'S8'!$E$6:$E$23,"Ambos")+COUNTIFS('S9'!$B$6:$B$15,$A70,'S9'!$E$6:$E$15,"Diego")+COUNTIFS('S9'!$B$6:$B$15,$A70,'S9'!$E$6:$E$15,"Ambos")+COUNTIFS('S10'!$B$6:$B$13,$A70,'S10'!$E$6:$E$13,"Diego")+COUNTIFS('S10'!$B$6:$B$13,$A70,'S10'!$E$6:$E$13,"Ambos")+COUNTIFS('Holgura'!$B$6:$B$11,$A70,'Holgura'!$E$6:$E$11,"Diego")+COUNTIFS('Holgura'!$B$6:$B$11,$A70,'Holgura'!$E$6:$E$11,"Ambos")+COUNTIFS('Entrega'!$B$6:$B$9,$A70,'Entrega'!$E$6:$E$9,"Diego")+COUNTIFS('Entrega'!$B$6:$B$9,$A70,'Entrega'!$E$6:$E$9,"Ambos")+COUNTIFS('Defensa'!$B$6:$B$10,$A70,'Defensa'!$E$6:$E$10,"Diego")+COUNTIFS('Defensa'!$B$6:$B$10,$A70,'Defensa'!$E$6:$E$10,"Ambos")</f>
        <v/>
      </c>
    </row>
    <row r="71">
      <c r="A71" s="25" t="n">
        <v>46373</v>
      </c>
      <c r="B71" s="26">
        <f>A71</f>
        <v/>
      </c>
      <c r="C71" s="21">
        <f>IF(WEEKDAY(A71,2)&gt;5,4,2)</f>
        <v/>
      </c>
      <c r="D71" s="21">
        <f>SUMIFS('S1'!$I$6:$I$32,'S1'!$B$6:$B$32,$A71,'S1'!$E$6:$E$32,"Víctor")+SUMIFS('S1'!$I$6:$I$32,'S1'!$B$6:$B$32,$A71,'S1'!$E$6:$E$32,"Ambos")+SUMIFS('S2'!$I$6:$I$23,'S2'!$B$6:$B$23,$A71,'S2'!$E$6:$E$23,"Víctor")+SUMIFS('S2'!$I$6:$I$23,'S2'!$B$6:$B$23,$A71,'S2'!$E$6:$E$23,"Ambos")+SUMIFS('S3'!$I$6:$I$24,'S3'!$B$6:$B$24,$A71,'S3'!$E$6:$E$24,"Víctor")+SUMIFS('S3'!$I$6:$I$24,'S3'!$B$6:$B$24,$A71,'S3'!$E$6:$E$24,"Ambos")+SUMIFS('S4'!$I$6:$I$22,'S4'!$B$6:$B$22,$A71,'S4'!$E$6:$E$22,"Víctor")+SUMIFS('S4'!$I$6:$I$22,'S4'!$B$6:$B$22,$A71,'S4'!$E$6:$E$22,"Ambos")+SUMIFS('S5'!$I$6:$I$20,'S5'!$B$6:$B$20,$A71,'S5'!$E$6:$E$20,"Víctor")+SUMIFS('S5'!$I$6:$I$20,'S5'!$B$6:$B$20,$A71,'S5'!$E$6:$E$20,"Ambos")+SUMIFS('S6'!$I$6:$I$17,'S6'!$B$6:$B$17,$A71,'S6'!$E$6:$E$17,"Víctor")+SUMIFS('S6'!$I$6:$I$17,'S6'!$B$6:$B$17,$A71,'S6'!$E$6:$E$17,"Ambos")+SUMIFS('S7'!$I$6:$I$19,'S7'!$B$6:$B$19,$A71,'S7'!$E$6:$E$19,"Víctor")+SUMIFS('S7'!$I$6:$I$19,'S7'!$B$6:$B$19,$A71,'S7'!$E$6:$E$19,"Ambos")+SUMIFS('S8'!$I$6:$I$23,'S8'!$B$6:$B$23,$A71,'S8'!$E$6:$E$23,"Víctor")+SUMIFS('S8'!$I$6:$I$23,'S8'!$B$6:$B$23,$A71,'S8'!$E$6:$E$23,"Ambos")+SUMIFS('S9'!$I$6:$I$15,'S9'!$B$6:$B$15,$A71,'S9'!$E$6:$E$15,"Víctor")+SUMIFS('S9'!$I$6:$I$15,'S9'!$B$6:$B$15,$A71,'S9'!$E$6:$E$15,"Ambos")+SUMIFS('S10'!$I$6:$I$13,'S10'!$B$6:$B$13,$A71,'S10'!$E$6:$E$13,"Víctor")+SUMIFS('S10'!$I$6:$I$13,'S10'!$B$6:$B$13,$A71,'S10'!$E$6:$E$13,"Ambos")+SUMIFS('Holgura'!$I$6:$I$11,'Holgura'!$B$6:$B$11,$A71,'Holgura'!$E$6:$E$11,"Víctor")+SUMIFS('Holgura'!$I$6:$I$11,'Holgura'!$B$6:$B$11,$A71,'Holgura'!$E$6:$E$11,"Ambos")+SUMIFS('Entrega'!$I$6:$I$9,'Entrega'!$B$6:$B$9,$A71,'Entrega'!$E$6:$E$9,"Víctor")+SUMIFS('Entrega'!$I$6:$I$9,'Entrega'!$B$6:$B$9,$A71,'Entrega'!$E$6:$E$9,"Ambos")+SUMIFS('Defensa'!$I$6:$I$10,'Defensa'!$B$6:$B$10,$A71,'Defensa'!$E$6:$E$10,"Víctor")+SUMIFS('Defensa'!$I$6:$I$10,'Defensa'!$B$6:$B$10,$A71,'Defensa'!$E$6:$E$10,"Ambos")</f>
        <v/>
      </c>
      <c r="E71" s="21">
        <f>SUMIFS('S1'!$I$6:$I$32,'S1'!$B$6:$B$32,$A71,'S1'!$E$6:$E$32,"Diego")+SUMIFS('S1'!$I$6:$I$32,'S1'!$B$6:$B$32,$A71,'S1'!$E$6:$E$32,"Ambos")+SUMIFS('S2'!$I$6:$I$23,'S2'!$B$6:$B$23,$A71,'S2'!$E$6:$E$23,"Diego")+SUMIFS('S2'!$I$6:$I$23,'S2'!$B$6:$B$23,$A71,'S2'!$E$6:$E$23,"Ambos")+SUMIFS('S3'!$I$6:$I$24,'S3'!$B$6:$B$24,$A71,'S3'!$E$6:$E$24,"Diego")+SUMIFS('S3'!$I$6:$I$24,'S3'!$B$6:$B$24,$A71,'S3'!$E$6:$E$24,"Ambos")+SUMIFS('S4'!$I$6:$I$22,'S4'!$B$6:$B$22,$A71,'S4'!$E$6:$E$22,"Diego")+SUMIFS('S4'!$I$6:$I$22,'S4'!$B$6:$B$22,$A71,'S4'!$E$6:$E$22,"Ambos")+SUMIFS('S5'!$I$6:$I$20,'S5'!$B$6:$B$20,$A71,'S5'!$E$6:$E$20,"Diego")+SUMIFS('S5'!$I$6:$I$20,'S5'!$B$6:$B$20,$A71,'S5'!$E$6:$E$20,"Ambos")+SUMIFS('S6'!$I$6:$I$17,'S6'!$B$6:$B$17,$A71,'S6'!$E$6:$E$17,"Diego")+SUMIFS('S6'!$I$6:$I$17,'S6'!$B$6:$B$17,$A71,'S6'!$E$6:$E$17,"Ambos")+SUMIFS('S7'!$I$6:$I$19,'S7'!$B$6:$B$19,$A71,'S7'!$E$6:$E$19,"Diego")+SUMIFS('S7'!$I$6:$I$19,'S7'!$B$6:$B$19,$A71,'S7'!$E$6:$E$19,"Ambos")+SUMIFS('S8'!$I$6:$I$23,'S8'!$B$6:$B$23,$A71,'S8'!$E$6:$E$23,"Diego")+SUMIFS('S8'!$I$6:$I$23,'S8'!$B$6:$B$23,$A71,'S8'!$E$6:$E$23,"Ambos")+SUMIFS('S9'!$I$6:$I$15,'S9'!$B$6:$B$15,$A71,'S9'!$E$6:$E$15,"Diego")+SUMIFS('S9'!$I$6:$I$15,'S9'!$B$6:$B$15,$A71,'S9'!$E$6:$E$15,"Ambos")+SUMIFS('S10'!$I$6:$I$13,'S10'!$B$6:$B$13,$A71,'S10'!$E$6:$E$13,"Diego")+SUMIFS('S10'!$I$6:$I$13,'S10'!$B$6:$B$13,$A71,'S10'!$E$6:$E$13,"Ambos")+SUMIFS('Holgura'!$I$6:$I$11,'Holgura'!$B$6:$B$11,$A71,'Holgura'!$E$6:$E$11,"Diego")+SUMIFS('Holgura'!$I$6:$I$11,'Holgura'!$B$6:$B$11,$A71,'Holgura'!$E$6:$E$11,"Ambos")+SUMIFS('Entrega'!$I$6:$I$9,'Entrega'!$B$6:$B$9,$A71,'Entrega'!$E$6:$E$9,"Diego")+SUMIFS('Entrega'!$I$6:$I$9,'Entrega'!$B$6:$B$9,$A71,'Entrega'!$E$6:$E$9,"Ambos")+SUMIFS('Defensa'!$I$6:$I$10,'Defensa'!$B$6:$B$10,$A71,'Defensa'!$E$6:$E$10,"Diego")+SUMIFS('Defensa'!$I$6:$I$10,'Defensa'!$B$6:$B$10,$A71,'Defensa'!$E$6:$E$10,"Ambos")</f>
        <v/>
      </c>
      <c r="F71" s="21">
        <f>COUNTIFS('S1'!$B$6:$B$32,$A71,'S1'!$E$6:$E$32,"Víctor")+COUNTIFS('S1'!$B$6:$B$32,$A71,'S1'!$E$6:$E$32,"Ambos")+COUNTIFS('S2'!$B$6:$B$23,$A71,'S2'!$E$6:$E$23,"Víctor")+COUNTIFS('S2'!$B$6:$B$23,$A71,'S2'!$E$6:$E$23,"Ambos")+COUNTIFS('S3'!$B$6:$B$24,$A71,'S3'!$E$6:$E$24,"Víctor")+COUNTIFS('S3'!$B$6:$B$24,$A71,'S3'!$E$6:$E$24,"Ambos")+COUNTIFS('S4'!$B$6:$B$22,$A71,'S4'!$E$6:$E$22,"Víctor")+COUNTIFS('S4'!$B$6:$B$22,$A71,'S4'!$E$6:$E$22,"Ambos")+COUNTIFS('S5'!$B$6:$B$20,$A71,'S5'!$E$6:$E$20,"Víctor")+COUNTIFS('S5'!$B$6:$B$20,$A71,'S5'!$E$6:$E$20,"Ambos")+COUNTIFS('S6'!$B$6:$B$17,$A71,'S6'!$E$6:$E$17,"Víctor")+COUNTIFS('S6'!$B$6:$B$17,$A71,'S6'!$E$6:$E$17,"Ambos")+COUNTIFS('S7'!$B$6:$B$19,$A71,'S7'!$E$6:$E$19,"Víctor")+COUNTIFS('S7'!$B$6:$B$19,$A71,'S7'!$E$6:$E$19,"Ambos")+COUNTIFS('S8'!$B$6:$B$23,$A71,'S8'!$E$6:$E$23,"Víctor")+COUNTIFS('S8'!$B$6:$B$23,$A71,'S8'!$E$6:$E$23,"Ambos")+COUNTIFS('S9'!$B$6:$B$15,$A71,'S9'!$E$6:$E$15,"Víctor")+COUNTIFS('S9'!$B$6:$B$15,$A71,'S9'!$E$6:$E$15,"Ambos")+COUNTIFS('S10'!$B$6:$B$13,$A71,'S10'!$E$6:$E$13,"Víctor")+COUNTIFS('S10'!$B$6:$B$13,$A71,'S10'!$E$6:$E$13,"Ambos")+COUNTIFS('Holgura'!$B$6:$B$11,$A71,'Holgura'!$E$6:$E$11,"Víctor")+COUNTIFS('Holgura'!$B$6:$B$11,$A71,'Holgura'!$E$6:$E$11,"Ambos")+COUNTIFS('Entrega'!$B$6:$B$9,$A71,'Entrega'!$E$6:$E$9,"Víctor")+COUNTIFS('Entrega'!$B$6:$B$9,$A71,'Entrega'!$E$6:$E$9,"Ambos")+COUNTIFS('Defensa'!$B$6:$B$10,$A71,'Defensa'!$E$6:$E$10,"Víctor")+COUNTIFS('Defensa'!$B$6:$B$10,$A71,'Defensa'!$E$6:$E$10,"Ambos")</f>
        <v/>
      </c>
      <c r="G71" s="21">
        <f>COUNTIFS('S1'!$B$6:$B$32,$A71,'S1'!$E$6:$E$32,"Diego")+COUNTIFS('S1'!$B$6:$B$32,$A71,'S1'!$E$6:$E$32,"Ambos")+COUNTIFS('S2'!$B$6:$B$23,$A71,'S2'!$E$6:$E$23,"Diego")+COUNTIFS('S2'!$B$6:$B$23,$A71,'S2'!$E$6:$E$23,"Ambos")+COUNTIFS('S3'!$B$6:$B$24,$A71,'S3'!$E$6:$E$24,"Diego")+COUNTIFS('S3'!$B$6:$B$24,$A71,'S3'!$E$6:$E$24,"Ambos")+COUNTIFS('S4'!$B$6:$B$22,$A71,'S4'!$E$6:$E$22,"Diego")+COUNTIFS('S4'!$B$6:$B$22,$A71,'S4'!$E$6:$E$22,"Ambos")+COUNTIFS('S5'!$B$6:$B$20,$A71,'S5'!$E$6:$E$20,"Diego")+COUNTIFS('S5'!$B$6:$B$20,$A71,'S5'!$E$6:$E$20,"Ambos")+COUNTIFS('S6'!$B$6:$B$17,$A71,'S6'!$E$6:$E$17,"Diego")+COUNTIFS('S6'!$B$6:$B$17,$A71,'S6'!$E$6:$E$17,"Ambos")+COUNTIFS('S7'!$B$6:$B$19,$A71,'S7'!$E$6:$E$19,"Diego")+COUNTIFS('S7'!$B$6:$B$19,$A71,'S7'!$E$6:$E$19,"Ambos")+COUNTIFS('S8'!$B$6:$B$23,$A71,'S8'!$E$6:$E$23,"Diego")+COUNTIFS('S8'!$B$6:$B$23,$A71,'S8'!$E$6:$E$23,"Ambos")+COUNTIFS('S9'!$B$6:$B$15,$A71,'S9'!$E$6:$E$15,"Diego")+COUNTIFS('S9'!$B$6:$B$15,$A71,'S9'!$E$6:$E$15,"Ambos")+COUNTIFS('S10'!$B$6:$B$13,$A71,'S10'!$E$6:$E$13,"Diego")+COUNTIFS('S10'!$B$6:$B$13,$A71,'S10'!$E$6:$E$13,"Ambos")+COUNTIFS('Holgura'!$B$6:$B$11,$A71,'Holgura'!$E$6:$E$11,"Diego")+COUNTIFS('Holgura'!$B$6:$B$11,$A71,'Holgura'!$E$6:$E$11,"Ambos")+COUNTIFS('Entrega'!$B$6:$B$9,$A71,'Entrega'!$E$6:$E$9,"Diego")+COUNTIFS('Entrega'!$B$6:$B$9,$A71,'Entrega'!$E$6:$E$9,"Ambos")+COUNTIFS('Defensa'!$B$6:$B$10,$A71,'Defensa'!$E$6:$E$10,"Diego")+COUNTIFS('Defensa'!$B$6:$B$10,$A71,'Defensa'!$E$6:$E$10,"Ambos")</f>
        <v/>
      </c>
    </row>
    <row r="72">
      <c r="A72" s="25" t="n">
        <v>46374</v>
      </c>
      <c r="B72" s="26">
        <f>A72</f>
        <v/>
      </c>
      <c r="C72" s="21">
        <f>IF(WEEKDAY(A72,2)&gt;5,4,2)</f>
        <v/>
      </c>
      <c r="D72" s="21">
        <f>SUMIFS('S1'!$I$6:$I$32,'S1'!$B$6:$B$32,$A72,'S1'!$E$6:$E$32,"Víctor")+SUMIFS('S1'!$I$6:$I$32,'S1'!$B$6:$B$32,$A72,'S1'!$E$6:$E$32,"Ambos")+SUMIFS('S2'!$I$6:$I$23,'S2'!$B$6:$B$23,$A72,'S2'!$E$6:$E$23,"Víctor")+SUMIFS('S2'!$I$6:$I$23,'S2'!$B$6:$B$23,$A72,'S2'!$E$6:$E$23,"Ambos")+SUMIFS('S3'!$I$6:$I$24,'S3'!$B$6:$B$24,$A72,'S3'!$E$6:$E$24,"Víctor")+SUMIFS('S3'!$I$6:$I$24,'S3'!$B$6:$B$24,$A72,'S3'!$E$6:$E$24,"Ambos")+SUMIFS('S4'!$I$6:$I$22,'S4'!$B$6:$B$22,$A72,'S4'!$E$6:$E$22,"Víctor")+SUMIFS('S4'!$I$6:$I$22,'S4'!$B$6:$B$22,$A72,'S4'!$E$6:$E$22,"Ambos")+SUMIFS('S5'!$I$6:$I$20,'S5'!$B$6:$B$20,$A72,'S5'!$E$6:$E$20,"Víctor")+SUMIFS('S5'!$I$6:$I$20,'S5'!$B$6:$B$20,$A72,'S5'!$E$6:$E$20,"Ambos")+SUMIFS('S6'!$I$6:$I$17,'S6'!$B$6:$B$17,$A72,'S6'!$E$6:$E$17,"Víctor")+SUMIFS('S6'!$I$6:$I$17,'S6'!$B$6:$B$17,$A72,'S6'!$E$6:$E$17,"Ambos")+SUMIFS('S7'!$I$6:$I$19,'S7'!$B$6:$B$19,$A72,'S7'!$E$6:$E$19,"Víctor")+SUMIFS('S7'!$I$6:$I$19,'S7'!$B$6:$B$19,$A72,'S7'!$E$6:$E$19,"Ambos")+SUMIFS('S8'!$I$6:$I$23,'S8'!$B$6:$B$23,$A72,'S8'!$E$6:$E$23,"Víctor")+SUMIFS('S8'!$I$6:$I$23,'S8'!$B$6:$B$23,$A72,'S8'!$E$6:$E$23,"Ambos")+SUMIFS('S9'!$I$6:$I$15,'S9'!$B$6:$B$15,$A72,'S9'!$E$6:$E$15,"Víctor")+SUMIFS('S9'!$I$6:$I$15,'S9'!$B$6:$B$15,$A72,'S9'!$E$6:$E$15,"Ambos")+SUMIFS('S10'!$I$6:$I$13,'S10'!$B$6:$B$13,$A72,'S10'!$E$6:$E$13,"Víctor")+SUMIFS('S10'!$I$6:$I$13,'S10'!$B$6:$B$13,$A72,'S10'!$E$6:$E$13,"Ambos")+SUMIFS('Holgura'!$I$6:$I$11,'Holgura'!$B$6:$B$11,$A72,'Holgura'!$E$6:$E$11,"Víctor")+SUMIFS('Holgura'!$I$6:$I$11,'Holgura'!$B$6:$B$11,$A72,'Holgura'!$E$6:$E$11,"Ambos")+SUMIFS('Entrega'!$I$6:$I$9,'Entrega'!$B$6:$B$9,$A72,'Entrega'!$E$6:$E$9,"Víctor")+SUMIFS('Entrega'!$I$6:$I$9,'Entrega'!$B$6:$B$9,$A72,'Entrega'!$E$6:$E$9,"Ambos")+SUMIFS('Defensa'!$I$6:$I$10,'Defensa'!$B$6:$B$10,$A72,'Defensa'!$E$6:$E$10,"Víctor")+SUMIFS('Defensa'!$I$6:$I$10,'Defensa'!$B$6:$B$10,$A72,'Defensa'!$E$6:$E$10,"Ambos")</f>
        <v/>
      </c>
      <c r="E72" s="21">
        <f>SUMIFS('S1'!$I$6:$I$32,'S1'!$B$6:$B$32,$A72,'S1'!$E$6:$E$32,"Diego")+SUMIFS('S1'!$I$6:$I$32,'S1'!$B$6:$B$32,$A72,'S1'!$E$6:$E$32,"Ambos")+SUMIFS('S2'!$I$6:$I$23,'S2'!$B$6:$B$23,$A72,'S2'!$E$6:$E$23,"Diego")+SUMIFS('S2'!$I$6:$I$23,'S2'!$B$6:$B$23,$A72,'S2'!$E$6:$E$23,"Ambos")+SUMIFS('S3'!$I$6:$I$24,'S3'!$B$6:$B$24,$A72,'S3'!$E$6:$E$24,"Diego")+SUMIFS('S3'!$I$6:$I$24,'S3'!$B$6:$B$24,$A72,'S3'!$E$6:$E$24,"Ambos")+SUMIFS('S4'!$I$6:$I$22,'S4'!$B$6:$B$22,$A72,'S4'!$E$6:$E$22,"Diego")+SUMIFS('S4'!$I$6:$I$22,'S4'!$B$6:$B$22,$A72,'S4'!$E$6:$E$22,"Ambos")+SUMIFS('S5'!$I$6:$I$20,'S5'!$B$6:$B$20,$A72,'S5'!$E$6:$E$20,"Diego")+SUMIFS('S5'!$I$6:$I$20,'S5'!$B$6:$B$20,$A72,'S5'!$E$6:$E$20,"Ambos")+SUMIFS('S6'!$I$6:$I$17,'S6'!$B$6:$B$17,$A72,'S6'!$E$6:$E$17,"Diego")+SUMIFS('S6'!$I$6:$I$17,'S6'!$B$6:$B$17,$A72,'S6'!$E$6:$E$17,"Ambos")+SUMIFS('S7'!$I$6:$I$19,'S7'!$B$6:$B$19,$A72,'S7'!$E$6:$E$19,"Diego")+SUMIFS('S7'!$I$6:$I$19,'S7'!$B$6:$B$19,$A72,'S7'!$E$6:$E$19,"Ambos")+SUMIFS('S8'!$I$6:$I$23,'S8'!$B$6:$B$23,$A72,'S8'!$E$6:$E$23,"Diego")+SUMIFS('S8'!$I$6:$I$23,'S8'!$B$6:$B$23,$A72,'S8'!$E$6:$E$23,"Ambos")+SUMIFS('S9'!$I$6:$I$15,'S9'!$B$6:$B$15,$A72,'S9'!$E$6:$E$15,"Diego")+SUMIFS('S9'!$I$6:$I$15,'S9'!$B$6:$B$15,$A72,'S9'!$E$6:$E$15,"Ambos")+SUMIFS('S10'!$I$6:$I$13,'S10'!$B$6:$B$13,$A72,'S10'!$E$6:$E$13,"Diego")+SUMIFS('S10'!$I$6:$I$13,'S10'!$B$6:$B$13,$A72,'S10'!$E$6:$E$13,"Ambos")+SUMIFS('Holgura'!$I$6:$I$11,'Holgura'!$B$6:$B$11,$A72,'Holgura'!$E$6:$E$11,"Diego")+SUMIFS('Holgura'!$I$6:$I$11,'Holgura'!$B$6:$B$11,$A72,'Holgura'!$E$6:$E$11,"Ambos")+SUMIFS('Entrega'!$I$6:$I$9,'Entrega'!$B$6:$B$9,$A72,'Entrega'!$E$6:$E$9,"Diego")+SUMIFS('Entrega'!$I$6:$I$9,'Entrega'!$B$6:$B$9,$A72,'Entrega'!$E$6:$E$9,"Ambos")+SUMIFS('Defensa'!$I$6:$I$10,'Defensa'!$B$6:$B$10,$A72,'Defensa'!$E$6:$E$10,"Diego")+SUMIFS('Defensa'!$I$6:$I$10,'Defensa'!$B$6:$B$10,$A72,'Defensa'!$E$6:$E$10,"Ambos")</f>
        <v/>
      </c>
      <c r="F72" s="21">
        <f>COUNTIFS('S1'!$B$6:$B$32,$A72,'S1'!$E$6:$E$32,"Víctor")+COUNTIFS('S1'!$B$6:$B$32,$A72,'S1'!$E$6:$E$32,"Ambos")+COUNTIFS('S2'!$B$6:$B$23,$A72,'S2'!$E$6:$E$23,"Víctor")+COUNTIFS('S2'!$B$6:$B$23,$A72,'S2'!$E$6:$E$23,"Ambos")+COUNTIFS('S3'!$B$6:$B$24,$A72,'S3'!$E$6:$E$24,"Víctor")+COUNTIFS('S3'!$B$6:$B$24,$A72,'S3'!$E$6:$E$24,"Ambos")+COUNTIFS('S4'!$B$6:$B$22,$A72,'S4'!$E$6:$E$22,"Víctor")+COUNTIFS('S4'!$B$6:$B$22,$A72,'S4'!$E$6:$E$22,"Ambos")+COUNTIFS('S5'!$B$6:$B$20,$A72,'S5'!$E$6:$E$20,"Víctor")+COUNTIFS('S5'!$B$6:$B$20,$A72,'S5'!$E$6:$E$20,"Ambos")+COUNTIFS('S6'!$B$6:$B$17,$A72,'S6'!$E$6:$E$17,"Víctor")+COUNTIFS('S6'!$B$6:$B$17,$A72,'S6'!$E$6:$E$17,"Ambos")+COUNTIFS('S7'!$B$6:$B$19,$A72,'S7'!$E$6:$E$19,"Víctor")+COUNTIFS('S7'!$B$6:$B$19,$A72,'S7'!$E$6:$E$19,"Ambos")+COUNTIFS('S8'!$B$6:$B$23,$A72,'S8'!$E$6:$E$23,"Víctor")+COUNTIFS('S8'!$B$6:$B$23,$A72,'S8'!$E$6:$E$23,"Ambos")+COUNTIFS('S9'!$B$6:$B$15,$A72,'S9'!$E$6:$E$15,"Víctor")+COUNTIFS('S9'!$B$6:$B$15,$A72,'S9'!$E$6:$E$15,"Ambos")+COUNTIFS('S10'!$B$6:$B$13,$A72,'S10'!$E$6:$E$13,"Víctor")+COUNTIFS('S10'!$B$6:$B$13,$A72,'S10'!$E$6:$E$13,"Ambos")+COUNTIFS('Holgura'!$B$6:$B$11,$A72,'Holgura'!$E$6:$E$11,"Víctor")+COUNTIFS('Holgura'!$B$6:$B$11,$A72,'Holgura'!$E$6:$E$11,"Ambos")+COUNTIFS('Entrega'!$B$6:$B$9,$A72,'Entrega'!$E$6:$E$9,"Víctor")+COUNTIFS('Entrega'!$B$6:$B$9,$A72,'Entrega'!$E$6:$E$9,"Ambos")+COUNTIFS('Defensa'!$B$6:$B$10,$A72,'Defensa'!$E$6:$E$10,"Víctor")+COUNTIFS('Defensa'!$B$6:$B$10,$A72,'Defensa'!$E$6:$E$10,"Ambos")</f>
        <v/>
      </c>
      <c r="G72" s="21">
        <f>COUNTIFS('S1'!$B$6:$B$32,$A72,'S1'!$E$6:$E$32,"Diego")+COUNTIFS('S1'!$B$6:$B$32,$A72,'S1'!$E$6:$E$32,"Ambos")+COUNTIFS('S2'!$B$6:$B$23,$A72,'S2'!$E$6:$E$23,"Diego")+COUNTIFS('S2'!$B$6:$B$23,$A72,'S2'!$E$6:$E$23,"Ambos")+COUNTIFS('S3'!$B$6:$B$24,$A72,'S3'!$E$6:$E$24,"Diego")+COUNTIFS('S3'!$B$6:$B$24,$A72,'S3'!$E$6:$E$24,"Ambos")+COUNTIFS('S4'!$B$6:$B$22,$A72,'S4'!$E$6:$E$22,"Diego")+COUNTIFS('S4'!$B$6:$B$22,$A72,'S4'!$E$6:$E$22,"Ambos")+COUNTIFS('S5'!$B$6:$B$20,$A72,'S5'!$E$6:$E$20,"Diego")+COUNTIFS('S5'!$B$6:$B$20,$A72,'S5'!$E$6:$E$20,"Ambos")+COUNTIFS('S6'!$B$6:$B$17,$A72,'S6'!$E$6:$E$17,"Diego")+COUNTIFS('S6'!$B$6:$B$17,$A72,'S6'!$E$6:$E$17,"Ambos")+COUNTIFS('S7'!$B$6:$B$19,$A72,'S7'!$E$6:$E$19,"Diego")+COUNTIFS('S7'!$B$6:$B$19,$A72,'S7'!$E$6:$E$19,"Ambos")+COUNTIFS('S8'!$B$6:$B$23,$A72,'S8'!$E$6:$E$23,"Diego")+COUNTIFS('S8'!$B$6:$B$23,$A72,'S8'!$E$6:$E$23,"Ambos")+COUNTIFS('S9'!$B$6:$B$15,$A72,'S9'!$E$6:$E$15,"Diego")+COUNTIFS('S9'!$B$6:$B$15,$A72,'S9'!$E$6:$E$15,"Ambos")+COUNTIFS('S10'!$B$6:$B$13,$A72,'S10'!$E$6:$E$13,"Diego")+COUNTIFS('S10'!$B$6:$B$13,$A72,'S10'!$E$6:$E$13,"Ambos")+COUNTIFS('Holgura'!$B$6:$B$11,$A72,'Holgura'!$E$6:$E$11,"Diego")+COUNTIFS('Holgura'!$B$6:$B$11,$A72,'Holgura'!$E$6:$E$11,"Ambos")+COUNTIFS('Entrega'!$B$6:$B$9,$A72,'Entrega'!$E$6:$E$9,"Diego")+COUNTIFS('Entrega'!$B$6:$B$9,$A72,'Entrega'!$E$6:$E$9,"Ambos")+COUNTIFS('Defensa'!$B$6:$B$10,$A72,'Defensa'!$E$6:$E$10,"Diego")+COUNTIFS('Defensa'!$B$6:$B$10,$A72,'Defensa'!$E$6:$E$10,"Ambos")</f>
        <v/>
      </c>
    </row>
    <row r="73">
      <c r="A73" s="25" t="n">
        <v>46375</v>
      </c>
      <c r="B73" s="26">
        <f>A73</f>
        <v/>
      </c>
      <c r="C73" s="21">
        <f>IF(WEEKDAY(A73,2)&gt;5,4,2)</f>
        <v/>
      </c>
      <c r="D73" s="21">
        <f>SUMIFS('S1'!$I$6:$I$32,'S1'!$B$6:$B$32,$A73,'S1'!$E$6:$E$32,"Víctor")+SUMIFS('S1'!$I$6:$I$32,'S1'!$B$6:$B$32,$A73,'S1'!$E$6:$E$32,"Ambos")+SUMIFS('S2'!$I$6:$I$23,'S2'!$B$6:$B$23,$A73,'S2'!$E$6:$E$23,"Víctor")+SUMIFS('S2'!$I$6:$I$23,'S2'!$B$6:$B$23,$A73,'S2'!$E$6:$E$23,"Ambos")+SUMIFS('S3'!$I$6:$I$24,'S3'!$B$6:$B$24,$A73,'S3'!$E$6:$E$24,"Víctor")+SUMIFS('S3'!$I$6:$I$24,'S3'!$B$6:$B$24,$A73,'S3'!$E$6:$E$24,"Ambos")+SUMIFS('S4'!$I$6:$I$22,'S4'!$B$6:$B$22,$A73,'S4'!$E$6:$E$22,"Víctor")+SUMIFS('S4'!$I$6:$I$22,'S4'!$B$6:$B$22,$A73,'S4'!$E$6:$E$22,"Ambos")+SUMIFS('S5'!$I$6:$I$20,'S5'!$B$6:$B$20,$A73,'S5'!$E$6:$E$20,"Víctor")+SUMIFS('S5'!$I$6:$I$20,'S5'!$B$6:$B$20,$A73,'S5'!$E$6:$E$20,"Ambos")+SUMIFS('S6'!$I$6:$I$17,'S6'!$B$6:$B$17,$A73,'S6'!$E$6:$E$17,"Víctor")+SUMIFS('S6'!$I$6:$I$17,'S6'!$B$6:$B$17,$A73,'S6'!$E$6:$E$17,"Ambos")+SUMIFS('S7'!$I$6:$I$19,'S7'!$B$6:$B$19,$A73,'S7'!$E$6:$E$19,"Víctor")+SUMIFS('S7'!$I$6:$I$19,'S7'!$B$6:$B$19,$A73,'S7'!$E$6:$E$19,"Ambos")+SUMIFS('S8'!$I$6:$I$23,'S8'!$B$6:$B$23,$A73,'S8'!$E$6:$E$23,"Víctor")+SUMIFS('S8'!$I$6:$I$23,'S8'!$B$6:$B$23,$A73,'S8'!$E$6:$E$23,"Ambos")+SUMIFS('S9'!$I$6:$I$15,'S9'!$B$6:$B$15,$A73,'S9'!$E$6:$E$15,"Víctor")+SUMIFS('S9'!$I$6:$I$15,'S9'!$B$6:$B$15,$A73,'S9'!$E$6:$E$15,"Ambos")+SUMIFS('S10'!$I$6:$I$13,'S10'!$B$6:$B$13,$A73,'S10'!$E$6:$E$13,"Víctor")+SUMIFS('S10'!$I$6:$I$13,'S10'!$B$6:$B$13,$A73,'S10'!$E$6:$E$13,"Ambos")+SUMIFS('Holgura'!$I$6:$I$11,'Holgura'!$B$6:$B$11,$A73,'Holgura'!$E$6:$E$11,"Víctor")+SUMIFS('Holgura'!$I$6:$I$11,'Holgura'!$B$6:$B$11,$A73,'Holgura'!$E$6:$E$11,"Ambos")+SUMIFS('Entrega'!$I$6:$I$9,'Entrega'!$B$6:$B$9,$A73,'Entrega'!$E$6:$E$9,"Víctor")+SUMIFS('Entrega'!$I$6:$I$9,'Entrega'!$B$6:$B$9,$A73,'Entrega'!$E$6:$E$9,"Ambos")+SUMIFS('Defensa'!$I$6:$I$10,'Defensa'!$B$6:$B$10,$A73,'Defensa'!$E$6:$E$10,"Víctor")+SUMIFS('Defensa'!$I$6:$I$10,'Defensa'!$B$6:$B$10,$A73,'Defensa'!$E$6:$E$10,"Ambos")</f>
        <v/>
      </c>
      <c r="E73" s="21">
        <f>SUMIFS('S1'!$I$6:$I$32,'S1'!$B$6:$B$32,$A73,'S1'!$E$6:$E$32,"Diego")+SUMIFS('S1'!$I$6:$I$32,'S1'!$B$6:$B$32,$A73,'S1'!$E$6:$E$32,"Ambos")+SUMIFS('S2'!$I$6:$I$23,'S2'!$B$6:$B$23,$A73,'S2'!$E$6:$E$23,"Diego")+SUMIFS('S2'!$I$6:$I$23,'S2'!$B$6:$B$23,$A73,'S2'!$E$6:$E$23,"Ambos")+SUMIFS('S3'!$I$6:$I$24,'S3'!$B$6:$B$24,$A73,'S3'!$E$6:$E$24,"Diego")+SUMIFS('S3'!$I$6:$I$24,'S3'!$B$6:$B$24,$A73,'S3'!$E$6:$E$24,"Ambos")+SUMIFS('S4'!$I$6:$I$22,'S4'!$B$6:$B$22,$A73,'S4'!$E$6:$E$22,"Diego")+SUMIFS('S4'!$I$6:$I$22,'S4'!$B$6:$B$22,$A73,'S4'!$E$6:$E$22,"Ambos")+SUMIFS('S5'!$I$6:$I$20,'S5'!$B$6:$B$20,$A73,'S5'!$E$6:$E$20,"Diego")+SUMIFS('S5'!$I$6:$I$20,'S5'!$B$6:$B$20,$A73,'S5'!$E$6:$E$20,"Ambos")+SUMIFS('S6'!$I$6:$I$17,'S6'!$B$6:$B$17,$A73,'S6'!$E$6:$E$17,"Diego")+SUMIFS('S6'!$I$6:$I$17,'S6'!$B$6:$B$17,$A73,'S6'!$E$6:$E$17,"Ambos")+SUMIFS('S7'!$I$6:$I$19,'S7'!$B$6:$B$19,$A73,'S7'!$E$6:$E$19,"Diego")+SUMIFS('S7'!$I$6:$I$19,'S7'!$B$6:$B$19,$A73,'S7'!$E$6:$E$19,"Ambos")+SUMIFS('S8'!$I$6:$I$23,'S8'!$B$6:$B$23,$A73,'S8'!$E$6:$E$23,"Diego")+SUMIFS('S8'!$I$6:$I$23,'S8'!$B$6:$B$23,$A73,'S8'!$E$6:$E$23,"Ambos")+SUMIFS('S9'!$I$6:$I$15,'S9'!$B$6:$B$15,$A73,'S9'!$E$6:$E$15,"Diego")+SUMIFS('S9'!$I$6:$I$15,'S9'!$B$6:$B$15,$A73,'S9'!$E$6:$E$15,"Ambos")+SUMIFS('S10'!$I$6:$I$13,'S10'!$B$6:$B$13,$A73,'S10'!$E$6:$E$13,"Diego")+SUMIFS('S10'!$I$6:$I$13,'S10'!$B$6:$B$13,$A73,'S10'!$E$6:$E$13,"Ambos")+SUMIFS('Holgura'!$I$6:$I$11,'Holgura'!$B$6:$B$11,$A73,'Holgura'!$E$6:$E$11,"Diego")+SUMIFS('Holgura'!$I$6:$I$11,'Holgura'!$B$6:$B$11,$A73,'Holgura'!$E$6:$E$11,"Ambos")+SUMIFS('Entrega'!$I$6:$I$9,'Entrega'!$B$6:$B$9,$A73,'Entrega'!$E$6:$E$9,"Diego")+SUMIFS('Entrega'!$I$6:$I$9,'Entrega'!$B$6:$B$9,$A73,'Entrega'!$E$6:$E$9,"Ambos")+SUMIFS('Defensa'!$I$6:$I$10,'Defensa'!$B$6:$B$10,$A73,'Defensa'!$E$6:$E$10,"Diego")+SUMIFS('Defensa'!$I$6:$I$10,'Defensa'!$B$6:$B$10,$A73,'Defensa'!$E$6:$E$10,"Ambos")</f>
        <v/>
      </c>
      <c r="F73" s="21">
        <f>COUNTIFS('S1'!$B$6:$B$32,$A73,'S1'!$E$6:$E$32,"Víctor")+COUNTIFS('S1'!$B$6:$B$32,$A73,'S1'!$E$6:$E$32,"Ambos")+COUNTIFS('S2'!$B$6:$B$23,$A73,'S2'!$E$6:$E$23,"Víctor")+COUNTIFS('S2'!$B$6:$B$23,$A73,'S2'!$E$6:$E$23,"Ambos")+COUNTIFS('S3'!$B$6:$B$24,$A73,'S3'!$E$6:$E$24,"Víctor")+COUNTIFS('S3'!$B$6:$B$24,$A73,'S3'!$E$6:$E$24,"Ambos")+COUNTIFS('S4'!$B$6:$B$22,$A73,'S4'!$E$6:$E$22,"Víctor")+COUNTIFS('S4'!$B$6:$B$22,$A73,'S4'!$E$6:$E$22,"Ambos")+COUNTIFS('S5'!$B$6:$B$20,$A73,'S5'!$E$6:$E$20,"Víctor")+COUNTIFS('S5'!$B$6:$B$20,$A73,'S5'!$E$6:$E$20,"Ambos")+COUNTIFS('S6'!$B$6:$B$17,$A73,'S6'!$E$6:$E$17,"Víctor")+COUNTIFS('S6'!$B$6:$B$17,$A73,'S6'!$E$6:$E$17,"Ambos")+COUNTIFS('S7'!$B$6:$B$19,$A73,'S7'!$E$6:$E$19,"Víctor")+COUNTIFS('S7'!$B$6:$B$19,$A73,'S7'!$E$6:$E$19,"Ambos")+COUNTIFS('S8'!$B$6:$B$23,$A73,'S8'!$E$6:$E$23,"Víctor")+COUNTIFS('S8'!$B$6:$B$23,$A73,'S8'!$E$6:$E$23,"Ambos")+COUNTIFS('S9'!$B$6:$B$15,$A73,'S9'!$E$6:$E$15,"Víctor")+COUNTIFS('S9'!$B$6:$B$15,$A73,'S9'!$E$6:$E$15,"Ambos")+COUNTIFS('S10'!$B$6:$B$13,$A73,'S10'!$E$6:$E$13,"Víctor")+COUNTIFS('S10'!$B$6:$B$13,$A73,'S10'!$E$6:$E$13,"Ambos")+COUNTIFS('Holgura'!$B$6:$B$11,$A73,'Holgura'!$E$6:$E$11,"Víctor")+COUNTIFS('Holgura'!$B$6:$B$11,$A73,'Holgura'!$E$6:$E$11,"Ambos")+COUNTIFS('Entrega'!$B$6:$B$9,$A73,'Entrega'!$E$6:$E$9,"Víctor")+COUNTIFS('Entrega'!$B$6:$B$9,$A73,'Entrega'!$E$6:$E$9,"Ambos")+COUNTIFS('Defensa'!$B$6:$B$10,$A73,'Defensa'!$E$6:$E$10,"Víctor")+COUNTIFS('Defensa'!$B$6:$B$10,$A73,'Defensa'!$E$6:$E$10,"Ambos")</f>
        <v/>
      </c>
      <c r="G73" s="21">
        <f>COUNTIFS('S1'!$B$6:$B$32,$A73,'S1'!$E$6:$E$32,"Diego")+COUNTIFS('S1'!$B$6:$B$32,$A73,'S1'!$E$6:$E$32,"Ambos")+COUNTIFS('S2'!$B$6:$B$23,$A73,'S2'!$E$6:$E$23,"Diego")+COUNTIFS('S2'!$B$6:$B$23,$A73,'S2'!$E$6:$E$23,"Ambos")+COUNTIFS('S3'!$B$6:$B$24,$A73,'S3'!$E$6:$E$24,"Diego")+COUNTIFS('S3'!$B$6:$B$24,$A73,'S3'!$E$6:$E$24,"Ambos")+COUNTIFS('S4'!$B$6:$B$22,$A73,'S4'!$E$6:$E$22,"Diego")+COUNTIFS('S4'!$B$6:$B$22,$A73,'S4'!$E$6:$E$22,"Ambos")+COUNTIFS('S5'!$B$6:$B$20,$A73,'S5'!$E$6:$E$20,"Diego")+COUNTIFS('S5'!$B$6:$B$20,$A73,'S5'!$E$6:$E$20,"Ambos")+COUNTIFS('S6'!$B$6:$B$17,$A73,'S6'!$E$6:$E$17,"Diego")+COUNTIFS('S6'!$B$6:$B$17,$A73,'S6'!$E$6:$E$17,"Ambos")+COUNTIFS('S7'!$B$6:$B$19,$A73,'S7'!$E$6:$E$19,"Diego")+COUNTIFS('S7'!$B$6:$B$19,$A73,'S7'!$E$6:$E$19,"Ambos")+COUNTIFS('S8'!$B$6:$B$23,$A73,'S8'!$E$6:$E$23,"Diego")+COUNTIFS('S8'!$B$6:$B$23,$A73,'S8'!$E$6:$E$23,"Ambos")+COUNTIFS('S9'!$B$6:$B$15,$A73,'S9'!$E$6:$E$15,"Diego")+COUNTIFS('S9'!$B$6:$B$15,$A73,'S9'!$E$6:$E$15,"Ambos")+COUNTIFS('S10'!$B$6:$B$13,$A73,'S10'!$E$6:$E$13,"Diego")+COUNTIFS('S10'!$B$6:$B$13,$A73,'S10'!$E$6:$E$13,"Ambos")+COUNTIFS('Holgura'!$B$6:$B$11,$A73,'Holgura'!$E$6:$E$11,"Diego")+COUNTIFS('Holgura'!$B$6:$B$11,$A73,'Holgura'!$E$6:$E$11,"Ambos")+COUNTIFS('Entrega'!$B$6:$B$9,$A73,'Entrega'!$E$6:$E$9,"Diego")+COUNTIFS('Entrega'!$B$6:$B$9,$A73,'Entrega'!$E$6:$E$9,"Ambos")+COUNTIFS('Defensa'!$B$6:$B$10,$A73,'Defensa'!$E$6:$E$10,"Diego")+COUNTIFS('Defensa'!$B$6:$B$10,$A73,'Defensa'!$E$6:$E$10,"Ambos")</f>
        <v/>
      </c>
    </row>
    <row r="74">
      <c r="A74" s="25" t="n">
        <v>46376</v>
      </c>
      <c r="B74" s="26">
        <f>A74</f>
        <v/>
      </c>
      <c r="C74" s="21">
        <f>IF(WEEKDAY(A74,2)&gt;5,4,2)</f>
        <v/>
      </c>
      <c r="D74" s="21">
        <f>SUMIFS('S1'!$I$6:$I$32,'S1'!$B$6:$B$32,$A74,'S1'!$E$6:$E$32,"Víctor")+SUMIFS('S1'!$I$6:$I$32,'S1'!$B$6:$B$32,$A74,'S1'!$E$6:$E$32,"Ambos")+SUMIFS('S2'!$I$6:$I$23,'S2'!$B$6:$B$23,$A74,'S2'!$E$6:$E$23,"Víctor")+SUMIFS('S2'!$I$6:$I$23,'S2'!$B$6:$B$23,$A74,'S2'!$E$6:$E$23,"Ambos")+SUMIFS('S3'!$I$6:$I$24,'S3'!$B$6:$B$24,$A74,'S3'!$E$6:$E$24,"Víctor")+SUMIFS('S3'!$I$6:$I$24,'S3'!$B$6:$B$24,$A74,'S3'!$E$6:$E$24,"Ambos")+SUMIFS('S4'!$I$6:$I$22,'S4'!$B$6:$B$22,$A74,'S4'!$E$6:$E$22,"Víctor")+SUMIFS('S4'!$I$6:$I$22,'S4'!$B$6:$B$22,$A74,'S4'!$E$6:$E$22,"Ambos")+SUMIFS('S5'!$I$6:$I$20,'S5'!$B$6:$B$20,$A74,'S5'!$E$6:$E$20,"Víctor")+SUMIFS('S5'!$I$6:$I$20,'S5'!$B$6:$B$20,$A74,'S5'!$E$6:$E$20,"Ambos")+SUMIFS('S6'!$I$6:$I$17,'S6'!$B$6:$B$17,$A74,'S6'!$E$6:$E$17,"Víctor")+SUMIFS('S6'!$I$6:$I$17,'S6'!$B$6:$B$17,$A74,'S6'!$E$6:$E$17,"Ambos")+SUMIFS('S7'!$I$6:$I$19,'S7'!$B$6:$B$19,$A74,'S7'!$E$6:$E$19,"Víctor")+SUMIFS('S7'!$I$6:$I$19,'S7'!$B$6:$B$19,$A74,'S7'!$E$6:$E$19,"Ambos")+SUMIFS('S8'!$I$6:$I$23,'S8'!$B$6:$B$23,$A74,'S8'!$E$6:$E$23,"Víctor")+SUMIFS('S8'!$I$6:$I$23,'S8'!$B$6:$B$23,$A74,'S8'!$E$6:$E$23,"Ambos")+SUMIFS('S9'!$I$6:$I$15,'S9'!$B$6:$B$15,$A74,'S9'!$E$6:$E$15,"Víctor")+SUMIFS('S9'!$I$6:$I$15,'S9'!$B$6:$B$15,$A74,'S9'!$E$6:$E$15,"Ambos")+SUMIFS('S10'!$I$6:$I$13,'S10'!$B$6:$B$13,$A74,'S10'!$E$6:$E$13,"Víctor")+SUMIFS('S10'!$I$6:$I$13,'S10'!$B$6:$B$13,$A74,'S10'!$E$6:$E$13,"Ambos")+SUMIFS('Holgura'!$I$6:$I$11,'Holgura'!$B$6:$B$11,$A74,'Holgura'!$E$6:$E$11,"Víctor")+SUMIFS('Holgura'!$I$6:$I$11,'Holgura'!$B$6:$B$11,$A74,'Holgura'!$E$6:$E$11,"Ambos")+SUMIFS('Entrega'!$I$6:$I$9,'Entrega'!$B$6:$B$9,$A74,'Entrega'!$E$6:$E$9,"Víctor")+SUMIFS('Entrega'!$I$6:$I$9,'Entrega'!$B$6:$B$9,$A74,'Entrega'!$E$6:$E$9,"Ambos")+SUMIFS('Defensa'!$I$6:$I$10,'Defensa'!$B$6:$B$10,$A74,'Defensa'!$E$6:$E$10,"Víctor")+SUMIFS('Defensa'!$I$6:$I$10,'Defensa'!$B$6:$B$10,$A74,'Defensa'!$E$6:$E$10,"Ambos")</f>
        <v/>
      </c>
      <c r="E74" s="21">
        <f>SUMIFS('S1'!$I$6:$I$32,'S1'!$B$6:$B$32,$A74,'S1'!$E$6:$E$32,"Diego")+SUMIFS('S1'!$I$6:$I$32,'S1'!$B$6:$B$32,$A74,'S1'!$E$6:$E$32,"Ambos")+SUMIFS('S2'!$I$6:$I$23,'S2'!$B$6:$B$23,$A74,'S2'!$E$6:$E$23,"Diego")+SUMIFS('S2'!$I$6:$I$23,'S2'!$B$6:$B$23,$A74,'S2'!$E$6:$E$23,"Ambos")+SUMIFS('S3'!$I$6:$I$24,'S3'!$B$6:$B$24,$A74,'S3'!$E$6:$E$24,"Diego")+SUMIFS('S3'!$I$6:$I$24,'S3'!$B$6:$B$24,$A74,'S3'!$E$6:$E$24,"Ambos")+SUMIFS('S4'!$I$6:$I$22,'S4'!$B$6:$B$22,$A74,'S4'!$E$6:$E$22,"Diego")+SUMIFS('S4'!$I$6:$I$22,'S4'!$B$6:$B$22,$A74,'S4'!$E$6:$E$22,"Ambos")+SUMIFS('S5'!$I$6:$I$20,'S5'!$B$6:$B$20,$A74,'S5'!$E$6:$E$20,"Diego")+SUMIFS('S5'!$I$6:$I$20,'S5'!$B$6:$B$20,$A74,'S5'!$E$6:$E$20,"Ambos")+SUMIFS('S6'!$I$6:$I$17,'S6'!$B$6:$B$17,$A74,'S6'!$E$6:$E$17,"Diego")+SUMIFS('S6'!$I$6:$I$17,'S6'!$B$6:$B$17,$A74,'S6'!$E$6:$E$17,"Ambos")+SUMIFS('S7'!$I$6:$I$19,'S7'!$B$6:$B$19,$A74,'S7'!$E$6:$E$19,"Diego")+SUMIFS('S7'!$I$6:$I$19,'S7'!$B$6:$B$19,$A74,'S7'!$E$6:$E$19,"Ambos")+SUMIFS('S8'!$I$6:$I$23,'S8'!$B$6:$B$23,$A74,'S8'!$E$6:$E$23,"Diego")+SUMIFS('S8'!$I$6:$I$23,'S8'!$B$6:$B$23,$A74,'S8'!$E$6:$E$23,"Ambos")+SUMIFS('S9'!$I$6:$I$15,'S9'!$B$6:$B$15,$A74,'S9'!$E$6:$E$15,"Diego")+SUMIFS('S9'!$I$6:$I$15,'S9'!$B$6:$B$15,$A74,'S9'!$E$6:$E$15,"Ambos")+SUMIFS('S10'!$I$6:$I$13,'S10'!$B$6:$B$13,$A74,'S10'!$E$6:$E$13,"Diego")+SUMIFS('S10'!$I$6:$I$13,'S10'!$B$6:$B$13,$A74,'S10'!$E$6:$E$13,"Ambos")+SUMIFS('Holgura'!$I$6:$I$11,'Holgura'!$B$6:$B$11,$A74,'Holgura'!$E$6:$E$11,"Diego")+SUMIFS('Holgura'!$I$6:$I$11,'Holgura'!$B$6:$B$11,$A74,'Holgura'!$E$6:$E$11,"Ambos")+SUMIFS('Entrega'!$I$6:$I$9,'Entrega'!$B$6:$B$9,$A74,'Entrega'!$E$6:$E$9,"Diego")+SUMIFS('Entrega'!$I$6:$I$9,'Entrega'!$B$6:$B$9,$A74,'Entrega'!$E$6:$E$9,"Ambos")+SUMIFS('Defensa'!$I$6:$I$10,'Defensa'!$B$6:$B$10,$A74,'Defensa'!$E$6:$E$10,"Diego")+SUMIFS('Defensa'!$I$6:$I$10,'Defensa'!$B$6:$B$10,$A74,'Defensa'!$E$6:$E$10,"Ambos")</f>
        <v/>
      </c>
      <c r="F74" s="21">
        <f>COUNTIFS('S1'!$B$6:$B$32,$A74,'S1'!$E$6:$E$32,"Víctor")+COUNTIFS('S1'!$B$6:$B$32,$A74,'S1'!$E$6:$E$32,"Ambos")+COUNTIFS('S2'!$B$6:$B$23,$A74,'S2'!$E$6:$E$23,"Víctor")+COUNTIFS('S2'!$B$6:$B$23,$A74,'S2'!$E$6:$E$23,"Ambos")+COUNTIFS('S3'!$B$6:$B$24,$A74,'S3'!$E$6:$E$24,"Víctor")+COUNTIFS('S3'!$B$6:$B$24,$A74,'S3'!$E$6:$E$24,"Ambos")+COUNTIFS('S4'!$B$6:$B$22,$A74,'S4'!$E$6:$E$22,"Víctor")+COUNTIFS('S4'!$B$6:$B$22,$A74,'S4'!$E$6:$E$22,"Ambos")+COUNTIFS('S5'!$B$6:$B$20,$A74,'S5'!$E$6:$E$20,"Víctor")+COUNTIFS('S5'!$B$6:$B$20,$A74,'S5'!$E$6:$E$20,"Ambos")+COUNTIFS('S6'!$B$6:$B$17,$A74,'S6'!$E$6:$E$17,"Víctor")+COUNTIFS('S6'!$B$6:$B$17,$A74,'S6'!$E$6:$E$17,"Ambos")+COUNTIFS('S7'!$B$6:$B$19,$A74,'S7'!$E$6:$E$19,"Víctor")+COUNTIFS('S7'!$B$6:$B$19,$A74,'S7'!$E$6:$E$19,"Ambos")+COUNTIFS('S8'!$B$6:$B$23,$A74,'S8'!$E$6:$E$23,"Víctor")+COUNTIFS('S8'!$B$6:$B$23,$A74,'S8'!$E$6:$E$23,"Ambos")+COUNTIFS('S9'!$B$6:$B$15,$A74,'S9'!$E$6:$E$15,"Víctor")+COUNTIFS('S9'!$B$6:$B$15,$A74,'S9'!$E$6:$E$15,"Ambos")+COUNTIFS('S10'!$B$6:$B$13,$A74,'S10'!$E$6:$E$13,"Víctor")+COUNTIFS('S10'!$B$6:$B$13,$A74,'S10'!$E$6:$E$13,"Ambos")+COUNTIFS('Holgura'!$B$6:$B$11,$A74,'Holgura'!$E$6:$E$11,"Víctor")+COUNTIFS('Holgura'!$B$6:$B$11,$A74,'Holgura'!$E$6:$E$11,"Ambos")+COUNTIFS('Entrega'!$B$6:$B$9,$A74,'Entrega'!$E$6:$E$9,"Víctor")+COUNTIFS('Entrega'!$B$6:$B$9,$A74,'Entrega'!$E$6:$E$9,"Ambos")+COUNTIFS('Defensa'!$B$6:$B$10,$A74,'Defensa'!$E$6:$E$10,"Víctor")+COUNTIFS('Defensa'!$B$6:$B$10,$A74,'Defensa'!$E$6:$E$10,"Ambos")</f>
        <v/>
      </c>
      <c r="G74" s="21">
        <f>COUNTIFS('S1'!$B$6:$B$32,$A74,'S1'!$E$6:$E$32,"Diego")+COUNTIFS('S1'!$B$6:$B$32,$A74,'S1'!$E$6:$E$32,"Ambos")+COUNTIFS('S2'!$B$6:$B$23,$A74,'S2'!$E$6:$E$23,"Diego")+COUNTIFS('S2'!$B$6:$B$23,$A74,'S2'!$E$6:$E$23,"Ambos")+COUNTIFS('S3'!$B$6:$B$24,$A74,'S3'!$E$6:$E$24,"Diego")+COUNTIFS('S3'!$B$6:$B$24,$A74,'S3'!$E$6:$E$24,"Ambos")+COUNTIFS('S4'!$B$6:$B$22,$A74,'S4'!$E$6:$E$22,"Diego")+COUNTIFS('S4'!$B$6:$B$22,$A74,'S4'!$E$6:$E$22,"Ambos")+COUNTIFS('S5'!$B$6:$B$20,$A74,'S5'!$E$6:$E$20,"Diego")+COUNTIFS('S5'!$B$6:$B$20,$A74,'S5'!$E$6:$E$20,"Ambos")+COUNTIFS('S6'!$B$6:$B$17,$A74,'S6'!$E$6:$E$17,"Diego")+COUNTIFS('S6'!$B$6:$B$17,$A74,'S6'!$E$6:$E$17,"Ambos")+COUNTIFS('S7'!$B$6:$B$19,$A74,'S7'!$E$6:$E$19,"Diego")+COUNTIFS('S7'!$B$6:$B$19,$A74,'S7'!$E$6:$E$19,"Ambos")+COUNTIFS('S8'!$B$6:$B$23,$A74,'S8'!$E$6:$E$23,"Diego")+COUNTIFS('S8'!$B$6:$B$23,$A74,'S8'!$E$6:$E$23,"Ambos")+COUNTIFS('S9'!$B$6:$B$15,$A74,'S9'!$E$6:$E$15,"Diego")+COUNTIFS('S9'!$B$6:$B$15,$A74,'S9'!$E$6:$E$15,"Ambos")+COUNTIFS('S10'!$B$6:$B$13,$A74,'S10'!$E$6:$E$13,"Diego")+COUNTIFS('S10'!$B$6:$B$13,$A74,'S10'!$E$6:$E$13,"Ambos")+COUNTIFS('Holgura'!$B$6:$B$11,$A74,'Holgura'!$E$6:$E$11,"Diego")+COUNTIFS('Holgura'!$B$6:$B$11,$A74,'Holgura'!$E$6:$E$11,"Ambos")+COUNTIFS('Entrega'!$B$6:$B$9,$A74,'Entrega'!$E$6:$E$9,"Diego")+COUNTIFS('Entrega'!$B$6:$B$9,$A74,'Entrega'!$E$6:$E$9,"Ambos")+COUNTIFS('Defensa'!$B$6:$B$10,$A74,'Defensa'!$E$6:$E$10,"Diego")+COUNTIFS('Defensa'!$B$6:$B$10,$A74,'Defensa'!$E$6:$E$10,"Ambos")</f>
        <v/>
      </c>
    </row>
    <row r="75">
      <c r="A75" s="25" t="n">
        <v>46377</v>
      </c>
      <c r="B75" s="26">
        <f>A75</f>
        <v/>
      </c>
      <c r="C75" s="21">
        <f>IF(WEEKDAY(A75,2)&gt;5,4,2)</f>
        <v/>
      </c>
      <c r="D75" s="21">
        <f>SUMIFS('S1'!$I$6:$I$32,'S1'!$B$6:$B$32,$A75,'S1'!$E$6:$E$32,"Víctor")+SUMIFS('S1'!$I$6:$I$32,'S1'!$B$6:$B$32,$A75,'S1'!$E$6:$E$32,"Ambos")+SUMIFS('S2'!$I$6:$I$23,'S2'!$B$6:$B$23,$A75,'S2'!$E$6:$E$23,"Víctor")+SUMIFS('S2'!$I$6:$I$23,'S2'!$B$6:$B$23,$A75,'S2'!$E$6:$E$23,"Ambos")+SUMIFS('S3'!$I$6:$I$24,'S3'!$B$6:$B$24,$A75,'S3'!$E$6:$E$24,"Víctor")+SUMIFS('S3'!$I$6:$I$24,'S3'!$B$6:$B$24,$A75,'S3'!$E$6:$E$24,"Ambos")+SUMIFS('S4'!$I$6:$I$22,'S4'!$B$6:$B$22,$A75,'S4'!$E$6:$E$22,"Víctor")+SUMIFS('S4'!$I$6:$I$22,'S4'!$B$6:$B$22,$A75,'S4'!$E$6:$E$22,"Ambos")+SUMIFS('S5'!$I$6:$I$20,'S5'!$B$6:$B$20,$A75,'S5'!$E$6:$E$20,"Víctor")+SUMIFS('S5'!$I$6:$I$20,'S5'!$B$6:$B$20,$A75,'S5'!$E$6:$E$20,"Ambos")+SUMIFS('S6'!$I$6:$I$17,'S6'!$B$6:$B$17,$A75,'S6'!$E$6:$E$17,"Víctor")+SUMIFS('S6'!$I$6:$I$17,'S6'!$B$6:$B$17,$A75,'S6'!$E$6:$E$17,"Ambos")+SUMIFS('S7'!$I$6:$I$19,'S7'!$B$6:$B$19,$A75,'S7'!$E$6:$E$19,"Víctor")+SUMIFS('S7'!$I$6:$I$19,'S7'!$B$6:$B$19,$A75,'S7'!$E$6:$E$19,"Ambos")+SUMIFS('S8'!$I$6:$I$23,'S8'!$B$6:$B$23,$A75,'S8'!$E$6:$E$23,"Víctor")+SUMIFS('S8'!$I$6:$I$23,'S8'!$B$6:$B$23,$A75,'S8'!$E$6:$E$23,"Ambos")+SUMIFS('S9'!$I$6:$I$15,'S9'!$B$6:$B$15,$A75,'S9'!$E$6:$E$15,"Víctor")+SUMIFS('S9'!$I$6:$I$15,'S9'!$B$6:$B$15,$A75,'S9'!$E$6:$E$15,"Ambos")+SUMIFS('S10'!$I$6:$I$13,'S10'!$B$6:$B$13,$A75,'S10'!$E$6:$E$13,"Víctor")+SUMIFS('S10'!$I$6:$I$13,'S10'!$B$6:$B$13,$A75,'S10'!$E$6:$E$13,"Ambos")+SUMIFS('Holgura'!$I$6:$I$11,'Holgura'!$B$6:$B$11,$A75,'Holgura'!$E$6:$E$11,"Víctor")+SUMIFS('Holgura'!$I$6:$I$11,'Holgura'!$B$6:$B$11,$A75,'Holgura'!$E$6:$E$11,"Ambos")+SUMIFS('Entrega'!$I$6:$I$9,'Entrega'!$B$6:$B$9,$A75,'Entrega'!$E$6:$E$9,"Víctor")+SUMIFS('Entrega'!$I$6:$I$9,'Entrega'!$B$6:$B$9,$A75,'Entrega'!$E$6:$E$9,"Ambos")+SUMIFS('Defensa'!$I$6:$I$10,'Defensa'!$B$6:$B$10,$A75,'Defensa'!$E$6:$E$10,"Víctor")+SUMIFS('Defensa'!$I$6:$I$10,'Defensa'!$B$6:$B$10,$A75,'Defensa'!$E$6:$E$10,"Ambos")</f>
        <v/>
      </c>
      <c r="E75" s="21">
        <f>SUMIFS('S1'!$I$6:$I$32,'S1'!$B$6:$B$32,$A75,'S1'!$E$6:$E$32,"Diego")+SUMIFS('S1'!$I$6:$I$32,'S1'!$B$6:$B$32,$A75,'S1'!$E$6:$E$32,"Ambos")+SUMIFS('S2'!$I$6:$I$23,'S2'!$B$6:$B$23,$A75,'S2'!$E$6:$E$23,"Diego")+SUMIFS('S2'!$I$6:$I$23,'S2'!$B$6:$B$23,$A75,'S2'!$E$6:$E$23,"Ambos")+SUMIFS('S3'!$I$6:$I$24,'S3'!$B$6:$B$24,$A75,'S3'!$E$6:$E$24,"Diego")+SUMIFS('S3'!$I$6:$I$24,'S3'!$B$6:$B$24,$A75,'S3'!$E$6:$E$24,"Ambos")+SUMIFS('S4'!$I$6:$I$22,'S4'!$B$6:$B$22,$A75,'S4'!$E$6:$E$22,"Diego")+SUMIFS('S4'!$I$6:$I$22,'S4'!$B$6:$B$22,$A75,'S4'!$E$6:$E$22,"Ambos")+SUMIFS('S5'!$I$6:$I$20,'S5'!$B$6:$B$20,$A75,'S5'!$E$6:$E$20,"Diego")+SUMIFS('S5'!$I$6:$I$20,'S5'!$B$6:$B$20,$A75,'S5'!$E$6:$E$20,"Ambos")+SUMIFS('S6'!$I$6:$I$17,'S6'!$B$6:$B$17,$A75,'S6'!$E$6:$E$17,"Diego")+SUMIFS('S6'!$I$6:$I$17,'S6'!$B$6:$B$17,$A75,'S6'!$E$6:$E$17,"Ambos")+SUMIFS('S7'!$I$6:$I$19,'S7'!$B$6:$B$19,$A75,'S7'!$E$6:$E$19,"Diego")+SUMIFS('S7'!$I$6:$I$19,'S7'!$B$6:$B$19,$A75,'S7'!$E$6:$E$19,"Ambos")+SUMIFS('S8'!$I$6:$I$23,'S8'!$B$6:$B$23,$A75,'S8'!$E$6:$E$23,"Diego")+SUMIFS('S8'!$I$6:$I$23,'S8'!$B$6:$B$23,$A75,'S8'!$E$6:$E$23,"Ambos")+SUMIFS('S9'!$I$6:$I$15,'S9'!$B$6:$B$15,$A75,'S9'!$E$6:$E$15,"Diego")+SUMIFS('S9'!$I$6:$I$15,'S9'!$B$6:$B$15,$A75,'S9'!$E$6:$E$15,"Ambos")+SUMIFS('S10'!$I$6:$I$13,'S10'!$B$6:$B$13,$A75,'S10'!$E$6:$E$13,"Diego")+SUMIFS('S10'!$I$6:$I$13,'S10'!$B$6:$B$13,$A75,'S10'!$E$6:$E$13,"Ambos")+SUMIFS('Holgura'!$I$6:$I$11,'Holgura'!$B$6:$B$11,$A75,'Holgura'!$E$6:$E$11,"Diego")+SUMIFS('Holgura'!$I$6:$I$11,'Holgura'!$B$6:$B$11,$A75,'Holgura'!$E$6:$E$11,"Ambos")+SUMIFS('Entrega'!$I$6:$I$9,'Entrega'!$B$6:$B$9,$A75,'Entrega'!$E$6:$E$9,"Diego")+SUMIFS('Entrega'!$I$6:$I$9,'Entrega'!$B$6:$B$9,$A75,'Entrega'!$E$6:$E$9,"Ambos")+SUMIFS('Defensa'!$I$6:$I$10,'Defensa'!$B$6:$B$10,$A75,'Defensa'!$E$6:$E$10,"Diego")+SUMIFS('Defensa'!$I$6:$I$10,'Defensa'!$B$6:$B$10,$A75,'Defensa'!$E$6:$E$10,"Ambos")</f>
        <v/>
      </c>
      <c r="F75" s="21">
        <f>COUNTIFS('S1'!$B$6:$B$32,$A75,'S1'!$E$6:$E$32,"Víctor")+COUNTIFS('S1'!$B$6:$B$32,$A75,'S1'!$E$6:$E$32,"Ambos")+COUNTIFS('S2'!$B$6:$B$23,$A75,'S2'!$E$6:$E$23,"Víctor")+COUNTIFS('S2'!$B$6:$B$23,$A75,'S2'!$E$6:$E$23,"Ambos")+COUNTIFS('S3'!$B$6:$B$24,$A75,'S3'!$E$6:$E$24,"Víctor")+COUNTIFS('S3'!$B$6:$B$24,$A75,'S3'!$E$6:$E$24,"Ambos")+COUNTIFS('S4'!$B$6:$B$22,$A75,'S4'!$E$6:$E$22,"Víctor")+COUNTIFS('S4'!$B$6:$B$22,$A75,'S4'!$E$6:$E$22,"Ambos")+COUNTIFS('S5'!$B$6:$B$20,$A75,'S5'!$E$6:$E$20,"Víctor")+COUNTIFS('S5'!$B$6:$B$20,$A75,'S5'!$E$6:$E$20,"Ambos")+COUNTIFS('S6'!$B$6:$B$17,$A75,'S6'!$E$6:$E$17,"Víctor")+COUNTIFS('S6'!$B$6:$B$17,$A75,'S6'!$E$6:$E$17,"Ambos")+COUNTIFS('S7'!$B$6:$B$19,$A75,'S7'!$E$6:$E$19,"Víctor")+COUNTIFS('S7'!$B$6:$B$19,$A75,'S7'!$E$6:$E$19,"Ambos")+COUNTIFS('S8'!$B$6:$B$23,$A75,'S8'!$E$6:$E$23,"Víctor")+COUNTIFS('S8'!$B$6:$B$23,$A75,'S8'!$E$6:$E$23,"Ambos")+COUNTIFS('S9'!$B$6:$B$15,$A75,'S9'!$E$6:$E$15,"Víctor")+COUNTIFS('S9'!$B$6:$B$15,$A75,'S9'!$E$6:$E$15,"Ambos")+COUNTIFS('S10'!$B$6:$B$13,$A75,'S10'!$E$6:$E$13,"Víctor")+COUNTIFS('S10'!$B$6:$B$13,$A75,'S10'!$E$6:$E$13,"Ambos")+COUNTIFS('Holgura'!$B$6:$B$11,$A75,'Holgura'!$E$6:$E$11,"Víctor")+COUNTIFS('Holgura'!$B$6:$B$11,$A75,'Holgura'!$E$6:$E$11,"Ambos")+COUNTIFS('Entrega'!$B$6:$B$9,$A75,'Entrega'!$E$6:$E$9,"Víctor")+COUNTIFS('Entrega'!$B$6:$B$9,$A75,'Entrega'!$E$6:$E$9,"Ambos")+COUNTIFS('Defensa'!$B$6:$B$10,$A75,'Defensa'!$E$6:$E$10,"Víctor")+COUNTIFS('Defensa'!$B$6:$B$10,$A75,'Defensa'!$E$6:$E$10,"Ambos")</f>
        <v/>
      </c>
      <c r="G75" s="21">
        <f>COUNTIFS('S1'!$B$6:$B$32,$A75,'S1'!$E$6:$E$32,"Diego")+COUNTIFS('S1'!$B$6:$B$32,$A75,'S1'!$E$6:$E$32,"Ambos")+COUNTIFS('S2'!$B$6:$B$23,$A75,'S2'!$E$6:$E$23,"Diego")+COUNTIFS('S2'!$B$6:$B$23,$A75,'S2'!$E$6:$E$23,"Ambos")+COUNTIFS('S3'!$B$6:$B$24,$A75,'S3'!$E$6:$E$24,"Diego")+COUNTIFS('S3'!$B$6:$B$24,$A75,'S3'!$E$6:$E$24,"Ambos")+COUNTIFS('S4'!$B$6:$B$22,$A75,'S4'!$E$6:$E$22,"Diego")+COUNTIFS('S4'!$B$6:$B$22,$A75,'S4'!$E$6:$E$22,"Ambos")+COUNTIFS('S5'!$B$6:$B$20,$A75,'S5'!$E$6:$E$20,"Diego")+COUNTIFS('S5'!$B$6:$B$20,$A75,'S5'!$E$6:$E$20,"Ambos")+COUNTIFS('S6'!$B$6:$B$17,$A75,'S6'!$E$6:$E$17,"Diego")+COUNTIFS('S6'!$B$6:$B$17,$A75,'S6'!$E$6:$E$17,"Ambos")+COUNTIFS('S7'!$B$6:$B$19,$A75,'S7'!$E$6:$E$19,"Diego")+COUNTIFS('S7'!$B$6:$B$19,$A75,'S7'!$E$6:$E$19,"Ambos")+COUNTIFS('S8'!$B$6:$B$23,$A75,'S8'!$E$6:$E$23,"Diego")+COUNTIFS('S8'!$B$6:$B$23,$A75,'S8'!$E$6:$E$23,"Ambos")+COUNTIFS('S9'!$B$6:$B$15,$A75,'S9'!$E$6:$E$15,"Diego")+COUNTIFS('S9'!$B$6:$B$15,$A75,'S9'!$E$6:$E$15,"Ambos")+COUNTIFS('S10'!$B$6:$B$13,$A75,'S10'!$E$6:$E$13,"Diego")+COUNTIFS('S10'!$B$6:$B$13,$A75,'S10'!$E$6:$E$13,"Ambos")+COUNTIFS('Holgura'!$B$6:$B$11,$A75,'Holgura'!$E$6:$E$11,"Diego")+COUNTIFS('Holgura'!$B$6:$B$11,$A75,'Holgura'!$E$6:$E$11,"Ambos")+COUNTIFS('Entrega'!$B$6:$B$9,$A75,'Entrega'!$E$6:$E$9,"Diego")+COUNTIFS('Entrega'!$B$6:$B$9,$A75,'Entrega'!$E$6:$E$9,"Ambos")+COUNTIFS('Defensa'!$B$6:$B$10,$A75,'Defensa'!$E$6:$E$10,"Diego")+COUNTIFS('Defensa'!$B$6:$B$10,$A75,'Defensa'!$E$6:$E$10,"Ambos")</f>
        <v/>
      </c>
    </row>
    <row r="76">
      <c r="A76" s="25" t="n">
        <v>46378</v>
      </c>
      <c r="B76" s="26">
        <f>A76</f>
        <v/>
      </c>
      <c r="C76" s="21">
        <f>IF(WEEKDAY(A76,2)&gt;5,4,2)</f>
        <v/>
      </c>
      <c r="D76" s="21">
        <f>SUMIFS('S1'!$I$6:$I$32,'S1'!$B$6:$B$32,$A76,'S1'!$E$6:$E$32,"Víctor")+SUMIFS('S1'!$I$6:$I$32,'S1'!$B$6:$B$32,$A76,'S1'!$E$6:$E$32,"Ambos")+SUMIFS('S2'!$I$6:$I$23,'S2'!$B$6:$B$23,$A76,'S2'!$E$6:$E$23,"Víctor")+SUMIFS('S2'!$I$6:$I$23,'S2'!$B$6:$B$23,$A76,'S2'!$E$6:$E$23,"Ambos")+SUMIFS('S3'!$I$6:$I$24,'S3'!$B$6:$B$24,$A76,'S3'!$E$6:$E$24,"Víctor")+SUMIFS('S3'!$I$6:$I$24,'S3'!$B$6:$B$24,$A76,'S3'!$E$6:$E$24,"Ambos")+SUMIFS('S4'!$I$6:$I$22,'S4'!$B$6:$B$22,$A76,'S4'!$E$6:$E$22,"Víctor")+SUMIFS('S4'!$I$6:$I$22,'S4'!$B$6:$B$22,$A76,'S4'!$E$6:$E$22,"Ambos")+SUMIFS('S5'!$I$6:$I$20,'S5'!$B$6:$B$20,$A76,'S5'!$E$6:$E$20,"Víctor")+SUMIFS('S5'!$I$6:$I$20,'S5'!$B$6:$B$20,$A76,'S5'!$E$6:$E$20,"Ambos")+SUMIFS('S6'!$I$6:$I$17,'S6'!$B$6:$B$17,$A76,'S6'!$E$6:$E$17,"Víctor")+SUMIFS('S6'!$I$6:$I$17,'S6'!$B$6:$B$17,$A76,'S6'!$E$6:$E$17,"Ambos")+SUMIFS('S7'!$I$6:$I$19,'S7'!$B$6:$B$19,$A76,'S7'!$E$6:$E$19,"Víctor")+SUMIFS('S7'!$I$6:$I$19,'S7'!$B$6:$B$19,$A76,'S7'!$E$6:$E$19,"Ambos")+SUMIFS('S8'!$I$6:$I$23,'S8'!$B$6:$B$23,$A76,'S8'!$E$6:$E$23,"Víctor")+SUMIFS('S8'!$I$6:$I$23,'S8'!$B$6:$B$23,$A76,'S8'!$E$6:$E$23,"Ambos")+SUMIFS('S9'!$I$6:$I$15,'S9'!$B$6:$B$15,$A76,'S9'!$E$6:$E$15,"Víctor")+SUMIFS('S9'!$I$6:$I$15,'S9'!$B$6:$B$15,$A76,'S9'!$E$6:$E$15,"Ambos")+SUMIFS('S10'!$I$6:$I$13,'S10'!$B$6:$B$13,$A76,'S10'!$E$6:$E$13,"Víctor")+SUMIFS('S10'!$I$6:$I$13,'S10'!$B$6:$B$13,$A76,'S10'!$E$6:$E$13,"Ambos")+SUMIFS('Holgura'!$I$6:$I$11,'Holgura'!$B$6:$B$11,$A76,'Holgura'!$E$6:$E$11,"Víctor")+SUMIFS('Holgura'!$I$6:$I$11,'Holgura'!$B$6:$B$11,$A76,'Holgura'!$E$6:$E$11,"Ambos")+SUMIFS('Entrega'!$I$6:$I$9,'Entrega'!$B$6:$B$9,$A76,'Entrega'!$E$6:$E$9,"Víctor")+SUMIFS('Entrega'!$I$6:$I$9,'Entrega'!$B$6:$B$9,$A76,'Entrega'!$E$6:$E$9,"Ambos")+SUMIFS('Defensa'!$I$6:$I$10,'Defensa'!$B$6:$B$10,$A76,'Defensa'!$E$6:$E$10,"Víctor")+SUMIFS('Defensa'!$I$6:$I$10,'Defensa'!$B$6:$B$10,$A76,'Defensa'!$E$6:$E$10,"Ambos")</f>
        <v/>
      </c>
      <c r="E76" s="21">
        <f>SUMIFS('S1'!$I$6:$I$32,'S1'!$B$6:$B$32,$A76,'S1'!$E$6:$E$32,"Diego")+SUMIFS('S1'!$I$6:$I$32,'S1'!$B$6:$B$32,$A76,'S1'!$E$6:$E$32,"Ambos")+SUMIFS('S2'!$I$6:$I$23,'S2'!$B$6:$B$23,$A76,'S2'!$E$6:$E$23,"Diego")+SUMIFS('S2'!$I$6:$I$23,'S2'!$B$6:$B$23,$A76,'S2'!$E$6:$E$23,"Ambos")+SUMIFS('S3'!$I$6:$I$24,'S3'!$B$6:$B$24,$A76,'S3'!$E$6:$E$24,"Diego")+SUMIFS('S3'!$I$6:$I$24,'S3'!$B$6:$B$24,$A76,'S3'!$E$6:$E$24,"Ambos")+SUMIFS('S4'!$I$6:$I$22,'S4'!$B$6:$B$22,$A76,'S4'!$E$6:$E$22,"Diego")+SUMIFS('S4'!$I$6:$I$22,'S4'!$B$6:$B$22,$A76,'S4'!$E$6:$E$22,"Ambos")+SUMIFS('S5'!$I$6:$I$20,'S5'!$B$6:$B$20,$A76,'S5'!$E$6:$E$20,"Diego")+SUMIFS('S5'!$I$6:$I$20,'S5'!$B$6:$B$20,$A76,'S5'!$E$6:$E$20,"Ambos")+SUMIFS('S6'!$I$6:$I$17,'S6'!$B$6:$B$17,$A76,'S6'!$E$6:$E$17,"Diego")+SUMIFS('S6'!$I$6:$I$17,'S6'!$B$6:$B$17,$A76,'S6'!$E$6:$E$17,"Ambos")+SUMIFS('S7'!$I$6:$I$19,'S7'!$B$6:$B$19,$A76,'S7'!$E$6:$E$19,"Diego")+SUMIFS('S7'!$I$6:$I$19,'S7'!$B$6:$B$19,$A76,'S7'!$E$6:$E$19,"Ambos")+SUMIFS('S8'!$I$6:$I$23,'S8'!$B$6:$B$23,$A76,'S8'!$E$6:$E$23,"Diego")+SUMIFS('S8'!$I$6:$I$23,'S8'!$B$6:$B$23,$A76,'S8'!$E$6:$E$23,"Ambos")+SUMIFS('S9'!$I$6:$I$15,'S9'!$B$6:$B$15,$A76,'S9'!$E$6:$E$15,"Diego")+SUMIFS('S9'!$I$6:$I$15,'S9'!$B$6:$B$15,$A76,'S9'!$E$6:$E$15,"Ambos")+SUMIFS('S10'!$I$6:$I$13,'S10'!$B$6:$B$13,$A76,'S10'!$E$6:$E$13,"Diego")+SUMIFS('S10'!$I$6:$I$13,'S10'!$B$6:$B$13,$A76,'S10'!$E$6:$E$13,"Ambos")+SUMIFS('Holgura'!$I$6:$I$11,'Holgura'!$B$6:$B$11,$A76,'Holgura'!$E$6:$E$11,"Diego")+SUMIFS('Holgura'!$I$6:$I$11,'Holgura'!$B$6:$B$11,$A76,'Holgura'!$E$6:$E$11,"Ambos")+SUMIFS('Entrega'!$I$6:$I$9,'Entrega'!$B$6:$B$9,$A76,'Entrega'!$E$6:$E$9,"Diego")+SUMIFS('Entrega'!$I$6:$I$9,'Entrega'!$B$6:$B$9,$A76,'Entrega'!$E$6:$E$9,"Ambos")+SUMIFS('Defensa'!$I$6:$I$10,'Defensa'!$B$6:$B$10,$A76,'Defensa'!$E$6:$E$10,"Diego")+SUMIFS('Defensa'!$I$6:$I$10,'Defensa'!$B$6:$B$10,$A76,'Defensa'!$E$6:$E$10,"Ambos")</f>
        <v/>
      </c>
      <c r="F76" s="21">
        <f>COUNTIFS('S1'!$B$6:$B$32,$A76,'S1'!$E$6:$E$32,"Víctor")+COUNTIFS('S1'!$B$6:$B$32,$A76,'S1'!$E$6:$E$32,"Ambos")+COUNTIFS('S2'!$B$6:$B$23,$A76,'S2'!$E$6:$E$23,"Víctor")+COUNTIFS('S2'!$B$6:$B$23,$A76,'S2'!$E$6:$E$23,"Ambos")+COUNTIFS('S3'!$B$6:$B$24,$A76,'S3'!$E$6:$E$24,"Víctor")+COUNTIFS('S3'!$B$6:$B$24,$A76,'S3'!$E$6:$E$24,"Ambos")+COUNTIFS('S4'!$B$6:$B$22,$A76,'S4'!$E$6:$E$22,"Víctor")+COUNTIFS('S4'!$B$6:$B$22,$A76,'S4'!$E$6:$E$22,"Ambos")+COUNTIFS('S5'!$B$6:$B$20,$A76,'S5'!$E$6:$E$20,"Víctor")+COUNTIFS('S5'!$B$6:$B$20,$A76,'S5'!$E$6:$E$20,"Ambos")+COUNTIFS('S6'!$B$6:$B$17,$A76,'S6'!$E$6:$E$17,"Víctor")+COUNTIFS('S6'!$B$6:$B$17,$A76,'S6'!$E$6:$E$17,"Ambos")+COUNTIFS('S7'!$B$6:$B$19,$A76,'S7'!$E$6:$E$19,"Víctor")+COUNTIFS('S7'!$B$6:$B$19,$A76,'S7'!$E$6:$E$19,"Ambos")+COUNTIFS('S8'!$B$6:$B$23,$A76,'S8'!$E$6:$E$23,"Víctor")+COUNTIFS('S8'!$B$6:$B$23,$A76,'S8'!$E$6:$E$23,"Ambos")+COUNTIFS('S9'!$B$6:$B$15,$A76,'S9'!$E$6:$E$15,"Víctor")+COUNTIFS('S9'!$B$6:$B$15,$A76,'S9'!$E$6:$E$15,"Ambos")+COUNTIFS('S10'!$B$6:$B$13,$A76,'S10'!$E$6:$E$13,"Víctor")+COUNTIFS('S10'!$B$6:$B$13,$A76,'S10'!$E$6:$E$13,"Ambos")+COUNTIFS('Holgura'!$B$6:$B$11,$A76,'Holgura'!$E$6:$E$11,"Víctor")+COUNTIFS('Holgura'!$B$6:$B$11,$A76,'Holgura'!$E$6:$E$11,"Ambos")+COUNTIFS('Entrega'!$B$6:$B$9,$A76,'Entrega'!$E$6:$E$9,"Víctor")+COUNTIFS('Entrega'!$B$6:$B$9,$A76,'Entrega'!$E$6:$E$9,"Ambos")+COUNTIFS('Defensa'!$B$6:$B$10,$A76,'Defensa'!$E$6:$E$10,"Víctor")+COUNTIFS('Defensa'!$B$6:$B$10,$A76,'Defensa'!$E$6:$E$10,"Ambos")</f>
        <v/>
      </c>
      <c r="G76" s="21">
        <f>COUNTIFS('S1'!$B$6:$B$32,$A76,'S1'!$E$6:$E$32,"Diego")+COUNTIFS('S1'!$B$6:$B$32,$A76,'S1'!$E$6:$E$32,"Ambos")+COUNTIFS('S2'!$B$6:$B$23,$A76,'S2'!$E$6:$E$23,"Diego")+COUNTIFS('S2'!$B$6:$B$23,$A76,'S2'!$E$6:$E$23,"Ambos")+COUNTIFS('S3'!$B$6:$B$24,$A76,'S3'!$E$6:$E$24,"Diego")+COUNTIFS('S3'!$B$6:$B$24,$A76,'S3'!$E$6:$E$24,"Ambos")+COUNTIFS('S4'!$B$6:$B$22,$A76,'S4'!$E$6:$E$22,"Diego")+COUNTIFS('S4'!$B$6:$B$22,$A76,'S4'!$E$6:$E$22,"Ambos")+COUNTIFS('S5'!$B$6:$B$20,$A76,'S5'!$E$6:$E$20,"Diego")+COUNTIFS('S5'!$B$6:$B$20,$A76,'S5'!$E$6:$E$20,"Ambos")+COUNTIFS('S6'!$B$6:$B$17,$A76,'S6'!$E$6:$E$17,"Diego")+COUNTIFS('S6'!$B$6:$B$17,$A76,'S6'!$E$6:$E$17,"Ambos")+COUNTIFS('S7'!$B$6:$B$19,$A76,'S7'!$E$6:$E$19,"Diego")+COUNTIFS('S7'!$B$6:$B$19,$A76,'S7'!$E$6:$E$19,"Ambos")+COUNTIFS('S8'!$B$6:$B$23,$A76,'S8'!$E$6:$E$23,"Diego")+COUNTIFS('S8'!$B$6:$B$23,$A76,'S8'!$E$6:$E$23,"Ambos")+COUNTIFS('S9'!$B$6:$B$15,$A76,'S9'!$E$6:$E$15,"Diego")+COUNTIFS('S9'!$B$6:$B$15,$A76,'S9'!$E$6:$E$15,"Ambos")+COUNTIFS('S10'!$B$6:$B$13,$A76,'S10'!$E$6:$E$13,"Diego")+COUNTIFS('S10'!$B$6:$B$13,$A76,'S10'!$E$6:$E$13,"Ambos")+COUNTIFS('Holgura'!$B$6:$B$11,$A76,'Holgura'!$E$6:$E$11,"Diego")+COUNTIFS('Holgura'!$B$6:$B$11,$A76,'Holgura'!$E$6:$E$11,"Ambos")+COUNTIFS('Entrega'!$B$6:$B$9,$A76,'Entrega'!$E$6:$E$9,"Diego")+COUNTIFS('Entrega'!$B$6:$B$9,$A76,'Entrega'!$E$6:$E$9,"Ambos")+COUNTIFS('Defensa'!$B$6:$B$10,$A76,'Defensa'!$E$6:$E$10,"Diego")+COUNTIFS('Defensa'!$B$6:$B$10,$A76,'Defensa'!$E$6:$E$10,"Ambos")</f>
        <v/>
      </c>
    </row>
    <row r="77">
      <c r="A77" s="25" t="n">
        <v>46379</v>
      </c>
      <c r="B77" s="26">
        <f>A77</f>
        <v/>
      </c>
      <c r="C77" s="21">
        <f>IF(WEEKDAY(A77,2)&gt;5,4,2)</f>
        <v/>
      </c>
      <c r="D77" s="21">
        <f>SUMIFS('S1'!$I$6:$I$32,'S1'!$B$6:$B$32,$A77,'S1'!$E$6:$E$32,"Víctor")+SUMIFS('S1'!$I$6:$I$32,'S1'!$B$6:$B$32,$A77,'S1'!$E$6:$E$32,"Ambos")+SUMIFS('S2'!$I$6:$I$23,'S2'!$B$6:$B$23,$A77,'S2'!$E$6:$E$23,"Víctor")+SUMIFS('S2'!$I$6:$I$23,'S2'!$B$6:$B$23,$A77,'S2'!$E$6:$E$23,"Ambos")+SUMIFS('S3'!$I$6:$I$24,'S3'!$B$6:$B$24,$A77,'S3'!$E$6:$E$24,"Víctor")+SUMIFS('S3'!$I$6:$I$24,'S3'!$B$6:$B$24,$A77,'S3'!$E$6:$E$24,"Ambos")+SUMIFS('S4'!$I$6:$I$22,'S4'!$B$6:$B$22,$A77,'S4'!$E$6:$E$22,"Víctor")+SUMIFS('S4'!$I$6:$I$22,'S4'!$B$6:$B$22,$A77,'S4'!$E$6:$E$22,"Ambos")+SUMIFS('S5'!$I$6:$I$20,'S5'!$B$6:$B$20,$A77,'S5'!$E$6:$E$20,"Víctor")+SUMIFS('S5'!$I$6:$I$20,'S5'!$B$6:$B$20,$A77,'S5'!$E$6:$E$20,"Ambos")+SUMIFS('S6'!$I$6:$I$17,'S6'!$B$6:$B$17,$A77,'S6'!$E$6:$E$17,"Víctor")+SUMIFS('S6'!$I$6:$I$17,'S6'!$B$6:$B$17,$A77,'S6'!$E$6:$E$17,"Ambos")+SUMIFS('S7'!$I$6:$I$19,'S7'!$B$6:$B$19,$A77,'S7'!$E$6:$E$19,"Víctor")+SUMIFS('S7'!$I$6:$I$19,'S7'!$B$6:$B$19,$A77,'S7'!$E$6:$E$19,"Ambos")+SUMIFS('S8'!$I$6:$I$23,'S8'!$B$6:$B$23,$A77,'S8'!$E$6:$E$23,"Víctor")+SUMIFS('S8'!$I$6:$I$23,'S8'!$B$6:$B$23,$A77,'S8'!$E$6:$E$23,"Ambos")+SUMIFS('S9'!$I$6:$I$15,'S9'!$B$6:$B$15,$A77,'S9'!$E$6:$E$15,"Víctor")+SUMIFS('S9'!$I$6:$I$15,'S9'!$B$6:$B$15,$A77,'S9'!$E$6:$E$15,"Ambos")+SUMIFS('S10'!$I$6:$I$13,'S10'!$B$6:$B$13,$A77,'S10'!$E$6:$E$13,"Víctor")+SUMIFS('S10'!$I$6:$I$13,'S10'!$B$6:$B$13,$A77,'S10'!$E$6:$E$13,"Ambos")+SUMIFS('Holgura'!$I$6:$I$11,'Holgura'!$B$6:$B$11,$A77,'Holgura'!$E$6:$E$11,"Víctor")+SUMIFS('Holgura'!$I$6:$I$11,'Holgura'!$B$6:$B$11,$A77,'Holgura'!$E$6:$E$11,"Ambos")+SUMIFS('Entrega'!$I$6:$I$9,'Entrega'!$B$6:$B$9,$A77,'Entrega'!$E$6:$E$9,"Víctor")+SUMIFS('Entrega'!$I$6:$I$9,'Entrega'!$B$6:$B$9,$A77,'Entrega'!$E$6:$E$9,"Ambos")+SUMIFS('Defensa'!$I$6:$I$10,'Defensa'!$B$6:$B$10,$A77,'Defensa'!$E$6:$E$10,"Víctor")+SUMIFS('Defensa'!$I$6:$I$10,'Defensa'!$B$6:$B$10,$A77,'Defensa'!$E$6:$E$10,"Ambos")</f>
        <v/>
      </c>
      <c r="E77" s="21">
        <f>SUMIFS('S1'!$I$6:$I$32,'S1'!$B$6:$B$32,$A77,'S1'!$E$6:$E$32,"Diego")+SUMIFS('S1'!$I$6:$I$32,'S1'!$B$6:$B$32,$A77,'S1'!$E$6:$E$32,"Ambos")+SUMIFS('S2'!$I$6:$I$23,'S2'!$B$6:$B$23,$A77,'S2'!$E$6:$E$23,"Diego")+SUMIFS('S2'!$I$6:$I$23,'S2'!$B$6:$B$23,$A77,'S2'!$E$6:$E$23,"Ambos")+SUMIFS('S3'!$I$6:$I$24,'S3'!$B$6:$B$24,$A77,'S3'!$E$6:$E$24,"Diego")+SUMIFS('S3'!$I$6:$I$24,'S3'!$B$6:$B$24,$A77,'S3'!$E$6:$E$24,"Ambos")+SUMIFS('S4'!$I$6:$I$22,'S4'!$B$6:$B$22,$A77,'S4'!$E$6:$E$22,"Diego")+SUMIFS('S4'!$I$6:$I$22,'S4'!$B$6:$B$22,$A77,'S4'!$E$6:$E$22,"Ambos")+SUMIFS('S5'!$I$6:$I$20,'S5'!$B$6:$B$20,$A77,'S5'!$E$6:$E$20,"Diego")+SUMIFS('S5'!$I$6:$I$20,'S5'!$B$6:$B$20,$A77,'S5'!$E$6:$E$20,"Ambos")+SUMIFS('S6'!$I$6:$I$17,'S6'!$B$6:$B$17,$A77,'S6'!$E$6:$E$17,"Diego")+SUMIFS('S6'!$I$6:$I$17,'S6'!$B$6:$B$17,$A77,'S6'!$E$6:$E$17,"Ambos")+SUMIFS('S7'!$I$6:$I$19,'S7'!$B$6:$B$19,$A77,'S7'!$E$6:$E$19,"Diego")+SUMIFS('S7'!$I$6:$I$19,'S7'!$B$6:$B$19,$A77,'S7'!$E$6:$E$19,"Ambos")+SUMIFS('S8'!$I$6:$I$23,'S8'!$B$6:$B$23,$A77,'S8'!$E$6:$E$23,"Diego")+SUMIFS('S8'!$I$6:$I$23,'S8'!$B$6:$B$23,$A77,'S8'!$E$6:$E$23,"Ambos")+SUMIFS('S9'!$I$6:$I$15,'S9'!$B$6:$B$15,$A77,'S9'!$E$6:$E$15,"Diego")+SUMIFS('S9'!$I$6:$I$15,'S9'!$B$6:$B$15,$A77,'S9'!$E$6:$E$15,"Ambos")+SUMIFS('S10'!$I$6:$I$13,'S10'!$B$6:$B$13,$A77,'S10'!$E$6:$E$13,"Diego")+SUMIFS('S10'!$I$6:$I$13,'S10'!$B$6:$B$13,$A77,'S10'!$E$6:$E$13,"Ambos")+SUMIFS('Holgura'!$I$6:$I$11,'Holgura'!$B$6:$B$11,$A77,'Holgura'!$E$6:$E$11,"Diego")+SUMIFS('Holgura'!$I$6:$I$11,'Holgura'!$B$6:$B$11,$A77,'Holgura'!$E$6:$E$11,"Ambos")+SUMIFS('Entrega'!$I$6:$I$9,'Entrega'!$B$6:$B$9,$A77,'Entrega'!$E$6:$E$9,"Diego")+SUMIFS('Entrega'!$I$6:$I$9,'Entrega'!$B$6:$B$9,$A77,'Entrega'!$E$6:$E$9,"Ambos")+SUMIFS('Defensa'!$I$6:$I$10,'Defensa'!$B$6:$B$10,$A77,'Defensa'!$E$6:$E$10,"Diego")+SUMIFS('Defensa'!$I$6:$I$10,'Defensa'!$B$6:$B$10,$A77,'Defensa'!$E$6:$E$10,"Ambos")</f>
        <v/>
      </c>
      <c r="F77" s="21">
        <f>COUNTIFS('S1'!$B$6:$B$32,$A77,'S1'!$E$6:$E$32,"Víctor")+COUNTIFS('S1'!$B$6:$B$32,$A77,'S1'!$E$6:$E$32,"Ambos")+COUNTIFS('S2'!$B$6:$B$23,$A77,'S2'!$E$6:$E$23,"Víctor")+COUNTIFS('S2'!$B$6:$B$23,$A77,'S2'!$E$6:$E$23,"Ambos")+COUNTIFS('S3'!$B$6:$B$24,$A77,'S3'!$E$6:$E$24,"Víctor")+COUNTIFS('S3'!$B$6:$B$24,$A77,'S3'!$E$6:$E$24,"Ambos")+COUNTIFS('S4'!$B$6:$B$22,$A77,'S4'!$E$6:$E$22,"Víctor")+COUNTIFS('S4'!$B$6:$B$22,$A77,'S4'!$E$6:$E$22,"Ambos")+COUNTIFS('S5'!$B$6:$B$20,$A77,'S5'!$E$6:$E$20,"Víctor")+COUNTIFS('S5'!$B$6:$B$20,$A77,'S5'!$E$6:$E$20,"Ambos")+COUNTIFS('S6'!$B$6:$B$17,$A77,'S6'!$E$6:$E$17,"Víctor")+COUNTIFS('S6'!$B$6:$B$17,$A77,'S6'!$E$6:$E$17,"Ambos")+COUNTIFS('S7'!$B$6:$B$19,$A77,'S7'!$E$6:$E$19,"Víctor")+COUNTIFS('S7'!$B$6:$B$19,$A77,'S7'!$E$6:$E$19,"Ambos")+COUNTIFS('S8'!$B$6:$B$23,$A77,'S8'!$E$6:$E$23,"Víctor")+COUNTIFS('S8'!$B$6:$B$23,$A77,'S8'!$E$6:$E$23,"Ambos")+COUNTIFS('S9'!$B$6:$B$15,$A77,'S9'!$E$6:$E$15,"Víctor")+COUNTIFS('S9'!$B$6:$B$15,$A77,'S9'!$E$6:$E$15,"Ambos")+COUNTIFS('S10'!$B$6:$B$13,$A77,'S10'!$E$6:$E$13,"Víctor")+COUNTIFS('S10'!$B$6:$B$13,$A77,'S10'!$E$6:$E$13,"Ambos")+COUNTIFS('Holgura'!$B$6:$B$11,$A77,'Holgura'!$E$6:$E$11,"Víctor")+COUNTIFS('Holgura'!$B$6:$B$11,$A77,'Holgura'!$E$6:$E$11,"Ambos")+COUNTIFS('Entrega'!$B$6:$B$9,$A77,'Entrega'!$E$6:$E$9,"Víctor")+COUNTIFS('Entrega'!$B$6:$B$9,$A77,'Entrega'!$E$6:$E$9,"Ambos")+COUNTIFS('Defensa'!$B$6:$B$10,$A77,'Defensa'!$E$6:$E$10,"Víctor")+COUNTIFS('Defensa'!$B$6:$B$10,$A77,'Defensa'!$E$6:$E$10,"Ambos")</f>
        <v/>
      </c>
      <c r="G77" s="21">
        <f>COUNTIFS('S1'!$B$6:$B$32,$A77,'S1'!$E$6:$E$32,"Diego")+COUNTIFS('S1'!$B$6:$B$32,$A77,'S1'!$E$6:$E$32,"Ambos")+COUNTIFS('S2'!$B$6:$B$23,$A77,'S2'!$E$6:$E$23,"Diego")+COUNTIFS('S2'!$B$6:$B$23,$A77,'S2'!$E$6:$E$23,"Ambos")+COUNTIFS('S3'!$B$6:$B$24,$A77,'S3'!$E$6:$E$24,"Diego")+COUNTIFS('S3'!$B$6:$B$24,$A77,'S3'!$E$6:$E$24,"Ambos")+COUNTIFS('S4'!$B$6:$B$22,$A77,'S4'!$E$6:$E$22,"Diego")+COUNTIFS('S4'!$B$6:$B$22,$A77,'S4'!$E$6:$E$22,"Ambos")+COUNTIFS('S5'!$B$6:$B$20,$A77,'S5'!$E$6:$E$20,"Diego")+COUNTIFS('S5'!$B$6:$B$20,$A77,'S5'!$E$6:$E$20,"Ambos")+COUNTIFS('S6'!$B$6:$B$17,$A77,'S6'!$E$6:$E$17,"Diego")+COUNTIFS('S6'!$B$6:$B$17,$A77,'S6'!$E$6:$E$17,"Ambos")+COUNTIFS('S7'!$B$6:$B$19,$A77,'S7'!$E$6:$E$19,"Diego")+COUNTIFS('S7'!$B$6:$B$19,$A77,'S7'!$E$6:$E$19,"Ambos")+COUNTIFS('S8'!$B$6:$B$23,$A77,'S8'!$E$6:$E$23,"Diego")+COUNTIFS('S8'!$B$6:$B$23,$A77,'S8'!$E$6:$E$23,"Ambos")+COUNTIFS('S9'!$B$6:$B$15,$A77,'S9'!$E$6:$E$15,"Diego")+COUNTIFS('S9'!$B$6:$B$15,$A77,'S9'!$E$6:$E$15,"Ambos")+COUNTIFS('S10'!$B$6:$B$13,$A77,'S10'!$E$6:$E$13,"Diego")+COUNTIFS('S10'!$B$6:$B$13,$A77,'S10'!$E$6:$E$13,"Ambos")+COUNTIFS('Holgura'!$B$6:$B$11,$A77,'Holgura'!$E$6:$E$11,"Diego")+COUNTIFS('Holgura'!$B$6:$B$11,$A77,'Holgura'!$E$6:$E$11,"Ambos")+COUNTIFS('Entrega'!$B$6:$B$9,$A77,'Entrega'!$E$6:$E$9,"Diego")+COUNTIFS('Entrega'!$B$6:$B$9,$A77,'Entrega'!$E$6:$E$9,"Ambos")+COUNTIFS('Defensa'!$B$6:$B$10,$A77,'Defensa'!$E$6:$E$10,"Diego")+COUNTIFS('Defensa'!$B$6:$B$10,$A77,'Defensa'!$E$6:$E$10,"Ambos")</f>
        <v/>
      </c>
    </row>
    <row r="78">
      <c r="A78" s="25" t="n">
        <v>46380</v>
      </c>
      <c r="B78" s="26">
        <f>A78</f>
        <v/>
      </c>
      <c r="C78" s="21">
        <f>IF(WEEKDAY(A78,2)&gt;5,4,2)</f>
        <v/>
      </c>
      <c r="D78" s="21">
        <f>SUMIFS('S1'!$I$6:$I$32,'S1'!$B$6:$B$32,$A78,'S1'!$E$6:$E$32,"Víctor")+SUMIFS('S1'!$I$6:$I$32,'S1'!$B$6:$B$32,$A78,'S1'!$E$6:$E$32,"Ambos")+SUMIFS('S2'!$I$6:$I$23,'S2'!$B$6:$B$23,$A78,'S2'!$E$6:$E$23,"Víctor")+SUMIFS('S2'!$I$6:$I$23,'S2'!$B$6:$B$23,$A78,'S2'!$E$6:$E$23,"Ambos")+SUMIFS('S3'!$I$6:$I$24,'S3'!$B$6:$B$24,$A78,'S3'!$E$6:$E$24,"Víctor")+SUMIFS('S3'!$I$6:$I$24,'S3'!$B$6:$B$24,$A78,'S3'!$E$6:$E$24,"Ambos")+SUMIFS('S4'!$I$6:$I$22,'S4'!$B$6:$B$22,$A78,'S4'!$E$6:$E$22,"Víctor")+SUMIFS('S4'!$I$6:$I$22,'S4'!$B$6:$B$22,$A78,'S4'!$E$6:$E$22,"Ambos")+SUMIFS('S5'!$I$6:$I$20,'S5'!$B$6:$B$20,$A78,'S5'!$E$6:$E$20,"Víctor")+SUMIFS('S5'!$I$6:$I$20,'S5'!$B$6:$B$20,$A78,'S5'!$E$6:$E$20,"Ambos")+SUMIFS('S6'!$I$6:$I$17,'S6'!$B$6:$B$17,$A78,'S6'!$E$6:$E$17,"Víctor")+SUMIFS('S6'!$I$6:$I$17,'S6'!$B$6:$B$17,$A78,'S6'!$E$6:$E$17,"Ambos")+SUMIFS('S7'!$I$6:$I$19,'S7'!$B$6:$B$19,$A78,'S7'!$E$6:$E$19,"Víctor")+SUMIFS('S7'!$I$6:$I$19,'S7'!$B$6:$B$19,$A78,'S7'!$E$6:$E$19,"Ambos")+SUMIFS('S8'!$I$6:$I$23,'S8'!$B$6:$B$23,$A78,'S8'!$E$6:$E$23,"Víctor")+SUMIFS('S8'!$I$6:$I$23,'S8'!$B$6:$B$23,$A78,'S8'!$E$6:$E$23,"Ambos")+SUMIFS('S9'!$I$6:$I$15,'S9'!$B$6:$B$15,$A78,'S9'!$E$6:$E$15,"Víctor")+SUMIFS('S9'!$I$6:$I$15,'S9'!$B$6:$B$15,$A78,'S9'!$E$6:$E$15,"Ambos")+SUMIFS('S10'!$I$6:$I$13,'S10'!$B$6:$B$13,$A78,'S10'!$E$6:$E$13,"Víctor")+SUMIFS('S10'!$I$6:$I$13,'S10'!$B$6:$B$13,$A78,'S10'!$E$6:$E$13,"Ambos")+SUMIFS('Holgura'!$I$6:$I$11,'Holgura'!$B$6:$B$11,$A78,'Holgura'!$E$6:$E$11,"Víctor")+SUMIFS('Holgura'!$I$6:$I$11,'Holgura'!$B$6:$B$11,$A78,'Holgura'!$E$6:$E$11,"Ambos")+SUMIFS('Entrega'!$I$6:$I$9,'Entrega'!$B$6:$B$9,$A78,'Entrega'!$E$6:$E$9,"Víctor")+SUMIFS('Entrega'!$I$6:$I$9,'Entrega'!$B$6:$B$9,$A78,'Entrega'!$E$6:$E$9,"Ambos")+SUMIFS('Defensa'!$I$6:$I$10,'Defensa'!$B$6:$B$10,$A78,'Defensa'!$E$6:$E$10,"Víctor")+SUMIFS('Defensa'!$I$6:$I$10,'Defensa'!$B$6:$B$10,$A78,'Defensa'!$E$6:$E$10,"Ambos")</f>
        <v/>
      </c>
      <c r="E78" s="21">
        <f>SUMIFS('S1'!$I$6:$I$32,'S1'!$B$6:$B$32,$A78,'S1'!$E$6:$E$32,"Diego")+SUMIFS('S1'!$I$6:$I$32,'S1'!$B$6:$B$32,$A78,'S1'!$E$6:$E$32,"Ambos")+SUMIFS('S2'!$I$6:$I$23,'S2'!$B$6:$B$23,$A78,'S2'!$E$6:$E$23,"Diego")+SUMIFS('S2'!$I$6:$I$23,'S2'!$B$6:$B$23,$A78,'S2'!$E$6:$E$23,"Ambos")+SUMIFS('S3'!$I$6:$I$24,'S3'!$B$6:$B$24,$A78,'S3'!$E$6:$E$24,"Diego")+SUMIFS('S3'!$I$6:$I$24,'S3'!$B$6:$B$24,$A78,'S3'!$E$6:$E$24,"Ambos")+SUMIFS('S4'!$I$6:$I$22,'S4'!$B$6:$B$22,$A78,'S4'!$E$6:$E$22,"Diego")+SUMIFS('S4'!$I$6:$I$22,'S4'!$B$6:$B$22,$A78,'S4'!$E$6:$E$22,"Ambos")+SUMIFS('S5'!$I$6:$I$20,'S5'!$B$6:$B$20,$A78,'S5'!$E$6:$E$20,"Diego")+SUMIFS('S5'!$I$6:$I$20,'S5'!$B$6:$B$20,$A78,'S5'!$E$6:$E$20,"Ambos")+SUMIFS('S6'!$I$6:$I$17,'S6'!$B$6:$B$17,$A78,'S6'!$E$6:$E$17,"Diego")+SUMIFS('S6'!$I$6:$I$17,'S6'!$B$6:$B$17,$A78,'S6'!$E$6:$E$17,"Ambos")+SUMIFS('S7'!$I$6:$I$19,'S7'!$B$6:$B$19,$A78,'S7'!$E$6:$E$19,"Diego")+SUMIFS('S7'!$I$6:$I$19,'S7'!$B$6:$B$19,$A78,'S7'!$E$6:$E$19,"Ambos")+SUMIFS('S8'!$I$6:$I$23,'S8'!$B$6:$B$23,$A78,'S8'!$E$6:$E$23,"Diego")+SUMIFS('S8'!$I$6:$I$23,'S8'!$B$6:$B$23,$A78,'S8'!$E$6:$E$23,"Ambos")+SUMIFS('S9'!$I$6:$I$15,'S9'!$B$6:$B$15,$A78,'S9'!$E$6:$E$15,"Diego")+SUMIFS('S9'!$I$6:$I$15,'S9'!$B$6:$B$15,$A78,'S9'!$E$6:$E$15,"Ambos")+SUMIFS('S10'!$I$6:$I$13,'S10'!$B$6:$B$13,$A78,'S10'!$E$6:$E$13,"Diego")+SUMIFS('S10'!$I$6:$I$13,'S10'!$B$6:$B$13,$A78,'S10'!$E$6:$E$13,"Ambos")+SUMIFS('Holgura'!$I$6:$I$11,'Holgura'!$B$6:$B$11,$A78,'Holgura'!$E$6:$E$11,"Diego")+SUMIFS('Holgura'!$I$6:$I$11,'Holgura'!$B$6:$B$11,$A78,'Holgura'!$E$6:$E$11,"Ambos")+SUMIFS('Entrega'!$I$6:$I$9,'Entrega'!$B$6:$B$9,$A78,'Entrega'!$E$6:$E$9,"Diego")+SUMIFS('Entrega'!$I$6:$I$9,'Entrega'!$B$6:$B$9,$A78,'Entrega'!$E$6:$E$9,"Ambos")+SUMIFS('Defensa'!$I$6:$I$10,'Defensa'!$B$6:$B$10,$A78,'Defensa'!$E$6:$E$10,"Diego")+SUMIFS('Defensa'!$I$6:$I$10,'Defensa'!$B$6:$B$10,$A78,'Defensa'!$E$6:$E$10,"Ambos")</f>
        <v/>
      </c>
      <c r="F78" s="21">
        <f>COUNTIFS('S1'!$B$6:$B$32,$A78,'S1'!$E$6:$E$32,"Víctor")+COUNTIFS('S1'!$B$6:$B$32,$A78,'S1'!$E$6:$E$32,"Ambos")+COUNTIFS('S2'!$B$6:$B$23,$A78,'S2'!$E$6:$E$23,"Víctor")+COUNTIFS('S2'!$B$6:$B$23,$A78,'S2'!$E$6:$E$23,"Ambos")+COUNTIFS('S3'!$B$6:$B$24,$A78,'S3'!$E$6:$E$24,"Víctor")+COUNTIFS('S3'!$B$6:$B$24,$A78,'S3'!$E$6:$E$24,"Ambos")+COUNTIFS('S4'!$B$6:$B$22,$A78,'S4'!$E$6:$E$22,"Víctor")+COUNTIFS('S4'!$B$6:$B$22,$A78,'S4'!$E$6:$E$22,"Ambos")+COUNTIFS('S5'!$B$6:$B$20,$A78,'S5'!$E$6:$E$20,"Víctor")+COUNTIFS('S5'!$B$6:$B$20,$A78,'S5'!$E$6:$E$20,"Ambos")+COUNTIFS('S6'!$B$6:$B$17,$A78,'S6'!$E$6:$E$17,"Víctor")+COUNTIFS('S6'!$B$6:$B$17,$A78,'S6'!$E$6:$E$17,"Ambos")+COUNTIFS('S7'!$B$6:$B$19,$A78,'S7'!$E$6:$E$19,"Víctor")+COUNTIFS('S7'!$B$6:$B$19,$A78,'S7'!$E$6:$E$19,"Ambos")+COUNTIFS('S8'!$B$6:$B$23,$A78,'S8'!$E$6:$E$23,"Víctor")+COUNTIFS('S8'!$B$6:$B$23,$A78,'S8'!$E$6:$E$23,"Ambos")+COUNTIFS('S9'!$B$6:$B$15,$A78,'S9'!$E$6:$E$15,"Víctor")+COUNTIFS('S9'!$B$6:$B$15,$A78,'S9'!$E$6:$E$15,"Ambos")+COUNTIFS('S10'!$B$6:$B$13,$A78,'S10'!$E$6:$E$13,"Víctor")+COUNTIFS('S10'!$B$6:$B$13,$A78,'S10'!$E$6:$E$13,"Ambos")+COUNTIFS('Holgura'!$B$6:$B$11,$A78,'Holgura'!$E$6:$E$11,"Víctor")+COUNTIFS('Holgura'!$B$6:$B$11,$A78,'Holgura'!$E$6:$E$11,"Ambos")+COUNTIFS('Entrega'!$B$6:$B$9,$A78,'Entrega'!$E$6:$E$9,"Víctor")+COUNTIFS('Entrega'!$B$6:$B$9,$A78,'Entrega'!$E$6:$E$9,"Ambos")+COUNTIFS('Defensa'!$B$6:$B$10,$A78,'Defensa'!$E$6:$E$10,"Víctor")+COUNTIFS('Defensa'!$B$6:$B$10,$A78,'Defensa'!$E$6:$E$10,"Ambos")</f>
        <v/>
      </c>
      <c r="G78" s="21">
        <f>COUNTIFS('S1'!$B$6:$B$32,$A78,'S1'!$E$6:$E$32,"Diego")+COUNTIFS('S1'!$B$6:$B$32,$A78,'S1'!$E$6:$E$32,"Ambos")+COUNTIFS('S2'!$B$6:$B$23,$A78,'S2'!$E$6:$E$23,"Diego")+COUNTIFS('S2'!$B$6:$B$23,$A78,'S2'!$E$6:$E$23,"Ambos")+COUNTIFS('S3'!$B$6:$B$24,$A78,'S3'!$E$6:$E$24,"Diego")+COUNTIFS('S3'!$B$6:$B$24,$A78,'S3'!$E$6:$E$24,"Ambos")+COUNTIFS('S4'!$B$6:$B$22,$A78,'S4'!$E$6:$E$22,"Diego")+COUNTIFS('S4'!$B$6:$B$22,$A78,'S4'!$E$6:$E$22,"Ambos")+COUNTIFS('S5'!$B$6:$B$20,$A78,'S5'!$E$6:$E$20,"Diego")+COUNTIFS('S5'!$B$6:$B$20,$A78,'S5'!$E$6:$E$20,"Ambos")+COUNTIFS('S6'!$B$6:$B$17,$A78,'S6'!$E$6:$E$17,"Diego")+COUNTIFS('S6'!$B$6:$B$17,$A78,'S6'!$E$6:$E$17,"Ambos")+COUNTIFS('S7'!$B$6:$B$19,$A78,'S7'!$E$6:$E$19,"Diego")+COUNTIFS('S7'!$B$6:$B$19,$A78,'S7'!$E$6:$E$19,"Ambos")+COUNTIFS('S8'!$B$6:$B$23,$A78,'S8'!$E$6:$E$23,"Diego")+COUNTIFS('S8'!$B$6:$B$23,$A78,'S8'!$E$6:$E$23,"Ambos")+COUNTIFS('S9'!$B$6:$B$15,$A78,'S9'!$E$6:$E$15,"Diego")+COUNTIFS('S9'!$B$6:$B$15,$A78,'S9'!$E$6:$E$15,"Ambos")+COUNTIFS('S10'!$B$6:$B$13,$A78,'S10'!$E$6:$E$13,"Diego")+COUNTIFS('S10'!$B$6:$B$13,$A78,'S10'!$E$6:$E$13,"Ambos")+COUNTIFS('Holgura'!$B$6:$B$11,$A78,'Holgura'!$E$6:$E$11,"Diego")+COUNTIFS('Holgura'!$B$6:$B$11,$A78,'Holgura'!$E$6:$E$11,"Ambos")+COUNTIFS('Entrega'!$B$6:$B$9,$A78,'Entrega'!$E$6:$E$9,"Diego")+COUNTIFS('Entrega'!$B$6:$B$9,$A78,'Entrega'!$E$6:$E$9,"Ambos")+COUNTIFS('Defensa'!$B$6:$B$10,$A78,'Defensa'!$E$6:$E$10,"Diego")+COUNTIFS('Defensa'!$B$6:$B$10,$A78,'Defensa'!$E$6:$E$10,"Ambos")</f>
        <v/>
      </c>
    </row>
    <row r="79">
      <c r="A79" s="25" t="n">
        <v>46381</v>
      </c>
      <c r="B79" s="26">
        <f>A79</f>
        <v/>
      </c>
      <c r="C79" s="21">
        <f>IF(WEEKDAY(A79,2)&gt;5,4,2)</f>
        <v/>
      </c>
      <c r="D79" s="21">
        <f>SUMIFS('S1'!$I$6:$I$32,'S1'!$B$6:$B$32,$A79,'S1'!$E$6:$E$32,"Víctor")+SUMIFS('S1'!$I$6:$I$32,'S1'!$B$6:$B$32,$A79,'S1'!$E$6:$E$32,"Ambos")+SUMIFS('S2'!$I$6:$I$23,'S2'!$B$6:$B$23,$A79,'S2'!$E$6:$E$23,"Víctor")+SUMIFS('S2'!$I$6:$I$23,'S2'!$B$6:$B$23,$A79,'S2'!$E$6:$E$23,"Ambos")+SUMIFS('S3'!$I$6:$I$24,'S3'!$B$6:$B$24,$A79,'S3'!$E$6:$E$24,"Víctor")+SUMIFS('S3'!$I$6:$I$24,'S3'!$B$6:$B$24,$A79,'S3'!$E$6:$E$24,"Ambos")+SUMIFS('S4'!$I$6:$I$22,'S4'!$B$6:$B$22,$A79,'S4'!$E$6:$E$22,"Víctor")+SUMIFS('S4'!$I$6:$I$22,'S4'!$B$6:$B$22,$A79,'S4'!$E$6:$E$22,"Ambos")+SUMIFS('S5'!$I$6:$I$20,'S5'!$B$6:$B$20,$A79,'S5'!$E$6:$E$20,"Víctor")+SUMIFS('S5'!$I$6:$I$20,'S5'!$B$6:$B$20,$A79,'S5'!$E$6:$E$20,"Ambos")+SUMIFS('S6'!$I$6:$I$17,'S6'!$B$6:$B$17,$A79,'S6'!$E$6:$E$17,"Víctor")+SUMIFS('S6'!$I$6:$I$17,'S6'!$B$6:$B$17,$A79,'S6'!$E$6:$E$17,"Ambos")+SUMIFS('S7'!$I$6:$I$19,'S7'!$B$6:$B$19,$A79,'S7'!$E$6:$E$19,"Víctor")+SUMIFS('S7'!$I$6:$I$19,'S7'!$B$6:$B$19,$A79,'S7'!$E$6:$E$19,"Ambos")+SUMIFS('S8'!$I$6:$I$23,'S8'!$B$6:$B$23,$A79,'S8'!$E$6:$E$23,"Víctor")+SUMIFS('S8'!$I$6:$I$23,'S8'!$B$6:$B$23,$A79,'S8'!$E$6:$E$23,"Ambos")+SUMIFS('S9'!$I$6:$I$15,'S9'!$B$6:$B$15,$A79,'S9'!$E$6:$E$15,"Víctor")+SUMIFS('S9'!$I$6:$I$15,'S9'!$B$6:$B$15,$A79,'S9'!$E$6:$E$15,"Ambos")+SUMIFS('S10'!$I$6:$I$13,'S10'!$B$6:$B$13,$A79,'S10'!$E$6:$E$13,"Víctor")+SUMIFS('S10'!$I$6:$I$13,'S10'!$B$6:$B$13,$A79,'S10'!$E$6:$E$13,"Ambos")+SUMIFS('Holgura'!$I$6:$I$11,'Holgura'!$B$6:$B$11,$A79,'Holgura'!$E$6:$E$11,"Víctor")+SUMIFS('Holgura'!$I$6:$I$11,'Holgura'!$B$6:$B$11,$A79,'Holgura'!$E$6:$E$11,"Ambos")+SUMIFS('Entrega'!$I$6:$I$9,'Entrega'!$B$6:$B$9,$A79,'Entrega'!$E$6:$E$9,"Víctor")+SUMIFS('Entrega'!$I$6:$I$9,'Entrega'!$B$6:$B$9,$A79,'Entrega'!$E$6:$E$9,"Ambos")+SUMIFS('Defensa'!$I$6:$I$10,'Defensa'!$B$6:$B$10,$A79,'Defensa'!$E$6:$E$10,"Víctor")+SUMIFS('Defensa'!$I$6:$I$10,'Defensa'!$B$6:$B$10,$A79,'Defensa'!$E$6:$E$10,"Ambos")</f>
        <v/>
      </c>
      <c r="E79" s="21">
        <f>SUMIFS('S1'!$I$6:$I$32,'S1'!$B$6:$B$32,$A79,'S1'!$E$6:$E$32,"Diego")+SUMIFS('S1'!$I$6:$I$32,'S1'!$B$6:$B$32,$A79,'S1'!$E$6:$E$32,"Ambos")+SUMIFS('S2'!$I$6:$I$23,'S2'!$B$6:$B$23,$A79,'S2'!$E$6:$E$23,"Diego")+SUMIFS('S2'!$I$6:$I$23,'S2'!$B$6:$B$23,$A79,'S2'!$E$6:$E$23,"Ambos")+SUMIFS('S3'!$I$6:$I$24,'S3'!$B$6:$B$24,$A79,'S3'!$E$6:$E$24,"Diego")+SUMIFS('S3'!$I$6:$I$24,'S3'!$B$6:$B$24,$A79,'S3'!$E$6:$E$24,"Ambos")+SUMIFS('S4'!$I$6:$I$22,'S4'!$B$6:$B$22,$A79,'S4'!$E$6:$E$22,"Diego")+SUMIFS('S4'!$I$6:$I$22,'S4'!$B$6:$B$22,$A79,'S4'!$E$6:$E$22,"Ambos")+SUMIFS('S5'!$I$6:$I$20,'S5'!$B$6:$B$20,$A79,'S5'!$E$6:$E$20,"Diego")+SUMIFS('S5'!$I$6:$I$20,'S5'!$B$6:$B$20,$A79,'S5'!$E$6:$E$20,"Ambos")+SUMIFS('S6'!$I$6:$I$17,'S6'!$B$6:$B$17,$A79,'S6'!$E$6:$E$17,"Diego")+SUMIFS('S6'!$I$6:$I$17,'S6'!$B$6:$B$17,$A79,'S6'!$E$6:$E$17,"Ambos")+SUMIFS('S7'!$I$6:$I$19,'S7'!$B$6:$B$19,$A79,'S7'!$E$6:$E$19,"Diego")+SUMIFS('S7'!$I$6:$I$19,'S7'!$B$6:$B$19,$A79,'S7'!$E$6:$E$19,"Ambos")+SUMIFS('S8'!$I$6:$I$23,'S8'!$B$6:$B$23,$A79,'S8'!$E$6:$E$23,"Diego")+SUMIFS('S8'!$I$6:$I$23,'S8'!$B$6:$B$23,$A79,'S8'!$E$6:$E$23,"Ambos")+SUMIFS('S9'!$I$6:$I$15,'S9'!$B$6:$B$15,$A79,'S9'!$E$6:$E$15,"Diego")+SUMIFS('S9'!$I$6:$I$15,'S9'!$B$6:$B$15,$A79,'S9'!$E$6:$E$15,"Ambos")+SUMIFS('S10'!$I$6:$I$13,'S10'!$B$6:$B$13,$A79,'S10'!$E$6:$E$13,"Diego")+SUMIFS('S10'!$I$6:$I$13,'S10'!$B$6:$B$13,$A79,'S10'!$E$6:$E$13,"Ambos")+SUMIFS('Holgura'!$I$6:$I$11,'Holgura'!$B$6:$B$11,$A79,'Holgura'!$E$6:$E$11,"Diego")+SUMIFS('Holgura'!$I$6:$I$11,'Holgura'!$B$6:$B$11,$A79,'Holgura'!$E$6:$E$11,"Ambos")+SUMIFS('Entrega'!$I$6:$I$9,'Entrega'!$B$6:$B$9,$A79,'Entrega'!$E$6:$E$9,"Diego")+SUMIFS('Entrega'!$I$6:$I$9,'Entrega'!$B$6:$B$9,$A79,'Entrega'!$E$6:$E$9,"Ambos")+SUMIFS('Defensa'!$I$6:$I$10,'Defensa'!$B$6:$B$10,$A79,'Defensa'!$E$6:$E$10,"Diego")+SUMIFS('Defensa'!$I$6:$I$10,'Defensa'!$B$6:$B$10,$A79,'Defensa'!$E$6:$E$10,"Ambos")</f>
        <v/>
      </c>
      <c r="F79" s="21">
        <f>COUNTIFS('S1'!$B$6:$B$32,$A79,'S1'!$E$6:$E$32,"Víctor")+COUNTIFS('S1'!$B$6:$B$32,$A79,'S1'!$E$6:$E$32,"Ambos")+COUNTIFS('S2'!$B$6:$B$23,$A79,'S2'!$E$6:$E$23,"Víctor")+COUNTIFS('S2'!$B$6:$B$23,$A79,'S2'!$E$6:$E$23,"Ambos")+COUNTIFS('S3'!$B$6:$B$24,$A79,'S3'!$E$6:$E$24,"Víctor")+COUNTIFS('S3'!$B$6:$B$24,$A79,'S3'!$E$6:$E$24,"Ambos")+COUNTIFS('S4'!$B$6:$B$22,$A79,'S4'!$E$6:$E$22,"Víctor")+COUNTIFS('S4'!$B$6:$B$22,$A79,'S4'!$E$6:$E$22,"Ambos")+COUNTIFS('S5'!$B$6:$B$20,$A79,'S5'!$E$6:$E$20,"Víctor")+COUNTIFS('S5'!$B$6:$B$20,$A79,'S5'!$E$6:$E$20,"Ambos")+COUNTIFS('S6'!$B$6:$B$17,$A79,'S6'!$E$6:$E$17,"Víctor")+COUNTIFS('S6'!$B$6:$B$17,$A79,'S6'!$E$6:$E$17,"Ambos")+COUNTIFS('S7'!$B$6:$B$19,$A79,'S7'!$E$6:$E$19,"Víctor")+COUNTIFS('S7'!$B$6:$B$19,$A79,'S7'!$E$6:$E$19,"Ambos")+COUNTIFS('S8'!$B$6:$B$23,$A79,'S8'!$E$6:$E$23,"Víctor")+COUNTIFS('S8'!$B$6:$B$23,$A79,'S8'!$E$6:$E$23,"Ambos")+COUNTIFS('S9'!$B$6:$B$15,$A79,'S9'!$E$6:$E$15,"Víctor")+COUNTIFS('S9'!$B$6:$B$15,$A79,'S9'!$E$6:$E$15,"Ambos")+COUNTIFS('S10'!$B$6:$B$13,$A79,'S10'!$E$6:$E$13,"Víctor")+COUNTIFS('S10'!$B$6:$B$13,$A79,'S10'!$E$6:$E$13,"Ambos")+COUNTIFS('Holgura'!$B$6:$B$11,$A79,'Holgura'!$E$6:$E$11,"Víctor")+COUNTIFS('Holgura'!$B$6:$B$11,$A79,'Holgura'!$E$6:$E$11,"Ambos")+COUNTIFS('Entrega'!$B$6:$B$9,$A79,'Entrega'!$E$6:$E$9,"Víctor")+COUNTIFS('Entrega'!$B$6:$B$9,$A79,'Entrega'!$E$6:$E$9,"Ambos")+COUNTIFS('Defensa'!$B$6:$B$10,$A79,'Defensa'!$E$6:$E$10,"Víctor")+COUNTIFS('Defensa'!$B$6:$B$10,$A79,'Defensa'!$E$6:$E$10,"Ambos")</f>
        <v/>
      </c>
      <c r="G79" s="21">
        <f>COUNTIFS('S1'!$B$6:$B$32,$A79,'S1'!$E$6:$E$32,"Diego")+COUNTIFS('S1'!$B$6:$B$32,$A79,'S1'!$E$6:$E$32,"Ambos")+COUNTIFS('S2'!$B$6:$B$23,$A79,'S2'!$E$6:$E$23,"Diego")+COUNTIFS('S2'!$B$6:$B$23,$A79,'S2'!$E$6:$E$23,"Ambos")+COUNTIFS('S3'!$B$6:$B$24,$A79,'S3'!$E$6:$E$24,"Diego")+COUNTIFS('S3'!$B$6:$B$24,$A79,'S3'!$E$6:$E$24,"Ambos")+COUNTIFS('S4'!$B$6:$B$22,$A79,'S4'!$E$6:$E$22,"Diego")+COUNTIFS('S4'!$B$6:$B$22,$A79,'S4'!$E$6:$E$22,"Ambos")+COUNTIFS('S5'!$B$6:$B$20,$A79,'S5'!$E$6:$E$20,"Diego")+COUNTIFS('S5'!$B$6:$B$20,$A79,'S5'!$E$6:$E$20,"Ambos")+COUNTIFS('S6'!$B$6:$B$17,$A79,'S6'!$E$6:$E$17,"Diego")+COUNTIFS('S6'!$B$6:$B$17,$A79,'S6'!$E$6:$E$17,"Ambos")+COUNTIFS('S7'!$B$6:$B$19,$A79,'S7'!$E$6:$E$19,"Diego")+COUNTIFS('S7'!$B$6:$B$19,$A79,'S7'!$E$6:$E$19,"Ambos")+COUNTIFS('S8'!$B$6:$B$23,$A79,'S8'!$E$6:$E$23,"Diego")+COUNTIFS('S8'!$B$6:$B$23,$A79,'S8'!$E$6:$E$23,"Ambos")+COUNTIFS('S9'!$B$6:$B$15,$A79,'S9'!$E$6:$E$15,"Diego")+COUNTIFS('S9'!$B$6:$B$15,$A79,'S9'!$E$6:$E$15,"Ambos")+COUNTIFS('S10'!$B$6:$B$13,$A79,'S10'!$E$6:$E$13,"Diego")+COUNTIFS('S10'!$B$6:$B$13,$A79,'S10'!$E$6:$E$13,"Ambos")+COUNTIFS('Holgura'!$B$6:$B$11,$A79,'Holgura'!$E$6:$E$11,"Diego")+COUNTIFS('Holgura'!$B$6:$B$11,$A79,'Holgura'!$E$6:$E$11,"Ambos")+COUNTIFS('Entrega'!$B$6:$B$9,$A79,'Entrega'!$E$6:$E$9,"Diego")+COUNTIFS('Entrega'!$B$6:$B$9,$A79,'Entrega'!$E$6:$E$9,"Ambos")+COUNTIFS('Defensa'!$B$6:$B$10,$A79,'Defensa'!$E$6:$E$10,"Diego")+COUNTIFS('Defensa'!$B$6:$B$10,$A79,'Defensa'!$E$6:$E$10,"Ambos")</f>
        <v/>
      </c>
    </row>
    <row r="80">
      <c r="A80" s="25" t="n">
        <v>46382</v>
      </c>
      <c r="B80" s="26">
        <f>A80</f>
        <v/>
      </c>
      <c r="C80" s="21">
        <f>IF(WEEKDAY(A80,2)&gt;5,4,2)</f>
        <v/>
      </c>
      <c r="D80" s="21">
        <f>SUMIFS('S1'!$I$6:$I$32,'S1'!$B$6:$B$32,$A80,'S1'!$E$6:$E$32,"Víctor")+SUMIFS('S1'!$I$6:$I$32,'S1'!$B$6:$B$32,$A80,'S1'!$E$6:$E$32,"Ambos")+SUMIFS('S2'!$I$6:$I$23,'S2'!$B$6:$B$23,$A80,'S2'!$E$6:$E$23,"Víctor")+SUMIFS('S2'!$I$6:$I$23,'S2'!$B$6:$B$23,$A80,'S2'!$E$6:$E$23,"Ambos")+SUMIFS('S3'!$I$6:$I$24,'S3'!$B$6:$B$24,$A80,'S3'!$E$6:$E$24,"Víctor")+SUMIFS('S3'!$I$6:$I$24,'S3'!$B$6:$B$24,$A80,'S3'!$E$6:$E$24,"Ambos")+SUMIFS('S4'!$I$6:$I$22,'S4'!$B$6:$B$22,$A80,'S4'!$E$6:$E$22,"Víctor")+SUMIFS('S4'!$I$6:$I$22,'S4'!$B$6:$B$22,$A80,'S4'!$E$6:$E$22,"Ambos")+SUMIFS('S5'!$I$6:$I$20,'S5'!$B$6:$B$20,$A80,'S5'!$E$6:$E$20,"Víctor")+SUMIFS('S5'!$I$6:$I$20,'S5'!$B$6:$B$20,$A80,'S5'!$E$6:$E$20,"Ambos")+SUMIFS('S6'!$I$6:$I$17,'S6'!$B$6:$B$17,$A80,'S6'!$E$6:$E$17,"Víctor")+SUMIFS('S6'!$I$6:$I$17,'S6'!$B$6:$B$17,$A80,'S6'!$E$6:$E$17,"Ambos")+SUMIFS('S7'!$I$6:$I$19,'S7'!$B$6:$B$19,$A80,'S7'!$E$6:$E$19,"Víctor")+SUMIFS('S7'!$I$6:$I$19,'S7'!$B$6:$B$19,$A80,'S7'!$E$6:$E$19,"Ambos")+SUMIFS('S8'!$I$6:$I$23,'S8'!$B$6:$B$23,$A80,'S8'!$E$6:$E$23,"Víctor")+SUMIFS('S8'!$I$6:$I$23,'S8'!$B$6:$B$23,$A80,'S8'!$E$6:$E$23,"Ambos")+SUMIFS('S9'!$I$6:$I$15,'S9'!$B$6:$B$15,$A80,'S9'!$E$6:$E$15,"Víctor")+SUMIFS('S9'!$I$6:$I$15,'S9'!$B$6:$B$15,$A80,'S9'!$E$6:$E$15,"Ambos")+SUMIFS('S10'!$I$6:$I$13,'S10'!$B$6:$B$13,$A80,'S10'!$E$6:$E$13,"Víctor")+SUMIFS('S10'!$I$6:$I$13,'S10'!$B$6:$B$13,$A80,'S10'!$E$6:$E$13,"Ambos")+SUMIFS('Holgura'!$I$6:$I$11,'Holgura'!$B$6:$B$11,$A80,'Holgura'!$E$6:$E$11,"Víctor")+SUMIFS('Holgura'!$I$6:$I$11,'Holgura'!$B$6:$B$11,$A80,'Holgura'!$E$6:$E$11,"Ambos")+SUMIFS('Entrega'!$I$6:$I$9,'Entrega'!$B$6:$B$9,$A80,'Entrega'!$E$6:$E$9,"Víctor")+SUMIFS('Entrega'!$I$6:$I$9,'Entrega'!$B$6:$B$9,$A80,'Entrega'!$E$6:$E$9,"Ambos")+SUMIFS('Defensa'!$I$6:$I$10,'Defensa'!$B$6:$B$10,$A80,'Defensa'!$E$6:$E$10,"Víctor")+SUMIFS('Defensa'!$I$6:$I$10,'Defensa'!$B$6:$B$10,$A80,'Defensa'!$E$6:$E$10,"Ambos")</f>
        <v/>
      </c>
      <c r="E80" s="21">
        <f>SUMIFS('S1'!$I$6:$I$32,'S1'!$B$6:$B$32,$A80,'S1'!$E$6:$E$32,"Diego")+SUMIFS('S1'!$I$6:$I$32,'S1'!$B$6:$B$32,$A80,'S1'!$E$6:$E$32,"Ambos")+SUMIFS('S2'!$I$6:$I$23,'S2'!$B$6:$B$23,$A80,'S2'!$E$6:$E$23,"Diego")+SUMIFS('S2'!$I$6:$I$23,'S2'!$B$6:$B$23,$A80,'S2'!$E$6:$E$23,"Ambos")+SUMIFS('S3'!$I$6:$I$24,'S3'!$B$6:$B$24,$A80,'S3'!$E$6:$E$24,"Diego")+SUMIFS('S3'!$I$6:$I$24,'S3'!$B$6:$B$24,$A80,'S3'!$E$6:$E$24,"Ambos")+SUMIFS('S4'!$I$6:$I$22,'S4'!$B$6:$B$22,$A80,'S4'!$E$6:$E$22,"Diego")+SUMIFS('S4'!$I$6:$I$22,'S4'!$B$6:$B$22,$A80,'S4'!$E$6:$E$22,"Ambos")+SUMIFS('S5'!$I$6:$I$20,'S5'!$B$6:$B$20,$A80,'S5'!$E$6:$E$20,"Diego")+SUMIFS('S5'!$I$6:$I$20,'S5'!$B$6:$B$20,$A80,'S5'!$E$6:$E$20,"Ambos")+SUMIFS('S6'!$I$6:$I$17,'S6'!$B$6:$B$17,$A80,'S6'!$E$6:$E$17,"Diego")+SUMIFS('S6'!$I$6:$I$17,'S6'!$B$6:$B$17,$A80,'S6'!$E$6:$E$17,"Ambos")+SUMIFS('S7'!$I$6:$I$19,'S7'!$B$6:$B$19,$A80,'S7'!$E$6:$E$19,"Diego")+SUMIFS('S7'!$I$6:$I$19,'S7'!$B$6:$B$19,$A80,'S7'!$E$6:$E$19,"Ambos")+SUMIFS('S8'!$I$6:$I$23,'S8'!$B$6:$B$23,$A80,'S8'!$E$6:$E$23,"Diego")+SUMIFS('S8'!$I$6:$I$23,'S8'!$B$6:$B$23,$A80,'S8'!$E$6:$E$23,"Ambos")+SUMIFS('S9'!$I$6:$I$15,'S9'!$B$6:$B$15,$A80,'S9'!$E$6:$E$15,"Diego")+SUMIFS('S9'!$I$6:$I$15,'S9'!$B$6:$B$15,$A80,'S9'!$E$6:$E$15,"Ambos")+SUMIFS('S10'!$I$6:$I$13,'S10'!$B$6:$B$13,$A80,'S10'!$E$6:$E$13,"Diego")+SUMIFS('S10'!$I$6:$I$13,'S10'!$B$6:$B$13,$A80,'S10'!$E$6:$E$13,"Ambos")+SUMIFS('Holgura'!$I$6:$I$11,'Holgura'!$B$6:$B$11,$A80,'Holgura'!$E$6:$E$11,"Diego")+SUMIFS('Holgura'!$I$6:$I$11,'Holgura'!$B$6:$B$11,$A80,'Holgura'!$E$6:$E$11,"Ambos")+SUMIFS('Entrega'!$I$6:$I$9,'Entrega'!$B$6:$B$9,$A80,'Entrega'!$E$6:$E$9,"Diego")+SUMIFS('Entrega'!$I$6:$I$9,'Entrega'!$B$6:$B$9,$A80,'Entrega'!$E$6:$E$9,"Ambos")+SUMIFS('Defensa'!$I$6:$I$10,'Defensa'!$B$6:$B$10,$A80,'Defensa'!$E$6:$E$10,"Diego")+SUMIFS('Defensa'!$I$6:$I$10,'Defensa'!$B$6:$B$10,$A80,'Defensa'!$E$6:$E$10,"Ambos")</f>
        <v/>
      </c>
      <c r="F80" s="21">
        <f>COUNTIFS('S1'!$B$6:$B$32,$A80,'S1'!$E$6:$E$32,"Víctor")+COUNTIFS('S1'!$B$6:$B$32,$A80,'S1'!$E$6:$E$32,"Ambos")+COUNTIFS('S2'!$B$6:$B$23,$A80,'S2'!$E$6:$E$23,"Víctor")+COUNTIFS('S2'!$B$6:$B$23,$A80,'S2'!$E$6:$E$23,"Ambos")+COUNTIFS('S3'!$B$6:$B$24,$A80,'S3'!$E$6:$E$24,"Víctor")+COUNTIFS('S3'!$B$6:$B$24,$A80,'S3'!$E$6:$E$24,"Ambos")+COUNTIFS('S4'!$B$6:$B$22,$A80,'S4'!$E$6:$E$22,"Víctor")+COUNTIFS('S4'!$B$6:$B$22,$A80,'S4'!$E$6:$E$22,"Ambos")+COUNTIFS('S5'!$B$6:$B$20,$A80,'S5'!$E$6:$E$20,"Víctor")+COUNTIFS('S5'!$B$6:$B$20,$A80,'S5'!$E$6:$E$20,"Ambos")+COUNTIFS('S6'!$B$6:$B$17,$A80,'S6'!$E$6:$E$17,"Víctor")+COUNTIFS('S6'!$B$6:$B$17,$A80,'S6'!$E$6:$E$17,"Ambos")+COUNTIFS('S7'!$B$6:$B$19,$A80,'S7'!$E$6:$E$19,"Víctor")+COUNTIFS('S7'!$B$6:$B$19,$A80,'S7'!$E$6:$E$19,"Ambos")+COUNTIFS('S8'!$B$6:$B$23,$A80,'S8'!$E$6:$E$23,"Víctor")+COUNTIFS('S8'!$B$6:$B$23,$A80,'S8'!$E$6:$E$23,"Ambos")+COUNTIFS('S9'!$B$6:$B$15,$A80,'S9'!$E$6:$E$15,"Víctor")+COUNTIFS('S9'!$B$6:$B$15,$A80,'S9'!$E$6:$E$15,"Ambos")+COUNTIFS('S10'!$B$6:$B$13,$A80,'S10'!$E$6:$E$13,"Víctor")+COUNTIFS('S10'!$B$6:$B$13,$A80,'S10'!$E$6:$E$13,"Ambos")+COUNTIFS('Holgura'!$B$6:$B$11,$A80,'Holgura'!$E$6:$E$11,"Víctor")+COUNTIFS('Holgura'!$B$6:$B$11,$A80,'Holgura'!$E$6:$E$11,"Ambos")+COUNTIFS('Entrega'!$B$6:$B$9,$A80,'Entrega'!$E$6:$E$9,"Víctor")+COUNTIFS('Entrega'!$B$6:$B$9,$A80,'Entrega'!$E$6:$E$9,"Ambos")+COUNTIFS('Defensa'!$B$6:$B$10,$A80,'Defensa'!$E$6:$E$10,"Víctor")+COUNTIFS('Defensa'!$B$6:$B$10,$A80,'Defensa'!$E$6:$E$10,"Ambos")</f>
        <v/>
      </c>
      <c r="G80" s="21">
        <f>COUNTIFS('S1'!$B$6:$B$32,$A80,'S1'!$E$6:$E$32,"Diego")+COUNTIFS('S1'!$B$6:$B$32,$A80,'S1'!$E$6:$E$32,"Ambos")+COUNTIFS('S2'!$B$6:$B$23,$A80,'S2'!$E$6:$E$23,"Diego")+COUNTIFS('S2'!$B$6:$B$23,$A80,'S2'!$E$6:$E$23,"Ambos")+COUNTIFS('S3'!$B$6:$B$24,$A80,'S3'!$E$6:$E$24,"Diego")+COUNTIFS('S3'!$B$6:$B$24,$A80,'S3'!$E$6:$E$24,"Ambos")+COUNTIFS('S4'!$B$6:$B$22,$A80,'S4'!$E$6:$E$22,"Diego")+COUNTIFS('S4'!$B$6:$B$22,$A80,'S4'!$E$6:$E$22,"Ambos")+COUNTIFS('S5'!$B$6:$B$20,$A80,'S5'!$E$6:$E$20,"Diego")+COUNTIFS('S5'!$B$6:$B$20,$A80,'S5'!$E$6:$E$20,"Ambos")+COUNTIFS('S6'!$B$6:$B$17,$A80,'S6'!$E$6:$E$17,"Diego")+COUNTIFS('S6'!$B$6:$B$17,$A80,'S6'!$E$6:$E$17,"Ambos")+COUNTIFS('S7'!$B$6:$B$19,$A80,'S7'!$E$6:$E$19,"Diego")+COUNTIFS('S7'!$B$6:$B$19,$A80,'S7'!$E$6:$E$19,"Ambos")+COUNTIFS('S8'!$B$6:$B$23,$A80,'S8'!$E$6:$E$23,"Diego")+COUNTIFS('S8'!$B$6:$B$23,$A80,'S8'!$E$6:$E$23,"Ambos")+COUNTIFS('S9'!$B$6:$B$15,$A80,'S9'!$E$6:$E$15,"Diego")+COUNTIFS('S9'!$B$6:$B$15,$A80,'S9'!$E$6:$E$15,"Ambos")+COUNTIFS('S10'!$B$6:$B$13,$A80,'S10'!$E$6:$E$13,"Diego")+COUNTIFS('S10'!$B$6:$B$13,$A80,'S10'!$E$6:$E$13,"Ambos")+COUNTIFS('Holgura'!$B$6:$B$11,$A80,'Holgura'!$E$6:$E$11,"Diego")+COUNTIFS('Holgura'!$B$6:$B$11,$A80,'Holgura'!$E$6:$E$11,"Ambos")+COUNTIFS('Entrega'!$B$6:$B$9,$A80,'Entrega'!$E$6:$E$9,"Diego")+COUNTIFS('Entrega'!$B$6:$B$9,$A80,'Entrega'!$E$6:$E$9,"Ambos")+COUNTIFS('Defensa'!$B$6:$B$10,$A80,'Defensa'!$E$6:$E$10,"Diego")+COUNTIFS('Defensa'!$B$6:$B$10,$A80,'Defensa'!$E$6:$E$10,"Ambos")</f>
        <v/>
      </c>
    </row>
    <row r="81">
      <c r="A81" s="25" t="n">
        <v>46383</v>
      </c>
      <c r="B81" s="26">
        <f>A81</f>
        <v/>
      </c>
      <c r="C81" s="21">
        <f>IF(WEEKDAY(A81,2)&gt;5,4,2)</f>
        <v/>
      </c>
      <c r="D81" s="21">
        <f>SUMIFS('S1'!$I$6:$I$32,'S1'!$B$6:$B$32,$A81,'S1'!$E$6:$E$32,"Víctor")+SUMIFS('S1'!$I$6:$I$32,'S1'!$B$6:$B$32,$A81,'S1'!$E$6:$E$32,"Ambos")+SUMIFS('S2'!$I$6:$I$23,'S2'!$B$6:$B$23,$A81,'S2'!$E$6:$E$23,"Víctor")+SUMIFS('S2'!$I$6:$I$23,'S2'!$B$6:$B$23,$A81,'S2'!$E$6:$E$23,"Ambos")+SUMIFS('S3'!$I$6:$I$24,'S3'!$B$6:$B$24,$A81,'S3'!$E$6:$E$24,"Víctor")+SUMIFS('S3'!$I$6:$I$24,'S3'!$B$6:$B$24,$A81,'S3'!$E$6:$E$24,"Ambos")+SUMIFS('S4'!$I$6:$I$22,'S4'!$B$6:$B$22,$A81,'S4'!$E$6:$E$22,"Víctor")+SUMIFS('S4'!$I$6:$I$22,'S4'!$B$6:$B$22,$A81,'S4'!$E$6:$E$22,"Ambos")+SUMIFS('S5'!$I$6:$I$20,'S5'!$B$6:$B$20,$A81,'S5'!$E$6:$E$20,"Víctor")+SUMIFS('S5'!$I$6:$I$20,'S5'!$B$6:$B$20,$A81,'S5'!$E$6:$E$20,"Ambos")+SUMIFS('S6'!$I$6:$I$17,'S6'!$B$6:$B$17,$A81,'S6'!$E$6:$E$17,"Víctor")+SUMIFS('S6'!$I$6:$I$17,'S6'!$B$6:$B$17,$A81,'S6'!$E$6:$E$17,"Ambos")+SUMIFS('S7'!$I$6:$I$19,'S7'!$B$6:$B$19,$A81,'S7'!$E$6:$E$19,"Víctor")+SUMIFS('S7'!$I$6:$I$19,'S7'!$B$6:$B$19,$A81,'S7'!$E$6:$E$19,"Ambos")+SUMIFS('S8'!$I$6:$I$23,'S8'!$B$6:$B$23,$A81,'S8'!$E$6:$E$23,"Víctor")+SUMIFS('S8'!$I$6:$I$23,'S8'!$B$6:$B$23,$A81,'S8'!$E$6:$E$23,"Ambos")+SUMIFS('S9'!$I$6:$I$15,'S9'!$B$6:$B$15,$A81,'S9'!$E$6:$E$15,"Víctor")+SUMIFS('S9'!$I$6:$I$15,'S9'!$B$6:$B$15,$A81,'S9'!$E$6:$E$15,"Ambos")+SUMIFS('S10'!$I$6:$I$13,'S10'!$B$6:$B$13,$A81,'S10'!$E$6:$E$13,"Víctor")+SUMIFS('S10'!$I$6:$I$13,'S10'!$B$6:$B$13,$A81,'S10'!$E$6:$E$13,"Ambos")+SUMIFS('Holgura'!$I$6:$I$11,'Holgura'!$B$6:$B$11,$A81,'Holgura'!$E$6:$E$11,"Víctor")+SUMIFS('Holgura'!$I$6:$I$11,'Holgura'!$B$6:$B$11,$A81,'Holgura'!$E$6:$E$11,"Ambos")+SUMIFS('Entrega'!$I$6:$I$9,'Entrega'!$B$6:$B$9,$A81,'Entrega'!$E$6:$E$9,"Víctor")+SUMIFS('Entrega'!$I$6:$I$9,'Entrega'!$B$6:$B$9,$A81,'Entrega'!$E$6:$E$9,"Ambos")+SUMIFS('Defensa'!$I$6:$I$10,'Defensa'!$B$6:$B$10,$A81,'Defensa'!$E$6:$E$10,"Víctor")+SUMIFS('Defensa'!$I$6:$I$10,'Defensa'!$B$6:$B$10,$A81,'Defensa'!$E$6:$E$10,"Ambos")</f>
        <v/>
      </c>
      <c r="E81" s="21">
        <f>SUMIFS('S1'!$I$6:$I$32,'S1'!$B$6:$B$32,$A81,'S1'!$E$6:$E$32,"Diego")+SUMIFS('S1'!$I$6:$I$32,'S1'!$B$6:$B$32,$A81,'S1'!$E$6:$E$32,"Ambos")+SUMIFS('S2'!$I$6:$I$23,'S2'!$B$6:$B$23,$A81,'S2'!$E$6:$E$23,"Diego")+SUMIFS('S2'!$I$6:$I$23,'S2'!$B$6:$B$23,$A81,'S2'!$E$6:$E$23,"Ambos")+SUMIFS('S3'!$I$6:$I$24,'S3'!$B$6:$B$24,$A81,'S3'!$E$6:$E$24,"Diego")+SUMIFS('S3'!$I$6:$I$24,'S3'!$B$6:$B$24,$A81,'S3'!$E$6:$E$24,"Ambos")+SUMIFS('S4'!$I$6:$I$22,'S4'!$B$6:$B$22,$A81,'S4'!$E$6:$E$22,"Diego")+SUMIFS('S4'!$I$6:$I$22,'S4'!$B$6:$B$22,$A81,'S4'!$E$6:$E$22,"Ambos")+SUMIFS('S5'!$I$6:$I$20,'S5'!$B$6:$B$20,$A81,'S5'!$E$6:$E$20,"Diego")+SUMIFS('S5'!$I$6:$I$20,'S5'!$B$6:$B$20,$A81,'S5'!$E$6:$E$20,"Ambos")+SUMIFS('S6'!$I$6:$I$17,'S6'!$B$6:$B$17,$A81,'S6'!$E$6:$E$17,"Diego")+SUMIFS('S6'!$I$6:$I$17,'S6'!$B$6:$B$17,$A81,'S6'!$E$6:$E$17,"Ambos")+SUMIFS('S7'!$I$6:$I$19,'S7'!$B$6:$B$19,$A81,'S7'!$E$6:$E$19,"Diego")+SUMIFS('S7'!$I$6:$I$19,'S7'!$B$6:$B$19,$A81,'S7'!$E$6:$E$19,"Ambos")+SUMIFS('S8'!$I$6:$I$23,'S8'!$B$6:$B$23,$A81,'S8'!$E$6:$E$23,"Diego")+SUMIFS('S8'!$I$6:$I$23,'S8'!$B$6:$B$23,$A81,'S8'!$E$6:$E$23,"Ambos")+SUMIFS('S9'!$I$6:$I$15,'S9'!$B$6:$B$15,$A81,'S9'!$E$6:$E$15,"Diego")+SUMIFS('S9'!$I$6:$I$15,'S9'!$B$6:$B$15,$A81,'S9'!$E$6:$E$15,"Ambos")+SUMIFS('S10'!$I$6:$I$13,'S10'!$B$6:$B$13,$A81,'S10'!$E$6:$E$13,"Diego")+SUMIFS('S10'!$I$6:$I$13,'S10'!$B$6:$B$13,$A81,'S10'!$E$6:$E$13,"Ambos")+SUMIFS('Holgura'!$I$6:$I$11,'Holgura'!$B$6:$B$11,$A81,'Holgura'!$E$6:$E$11,"Diego")+SUMIFS('Holgura'!$I$6:$I$11,'Holgura'!$B$6:$B$11,$A81,'Holgura'!$E$6:$E$11,"Ambos")+SUMIFS('Entrega'!$I$6:$I$9,'Entrega'!$B$6:$B$9,$A81,'Entrega'!$E$6:$E$9,"Diego")+SUMIFS('Entrega'!$I$6:$I$9,'Entrega'!$B$6:$B$9,$A81,'Entrega'!$E$6:$E$9,"Ambos")+SUMIFS('Defensa'!$I$6:$I$10,'Defensa'!$B$6:$B$10,$A81,'Defensa'!$E$6:$E$10,"Diego")+SUMIFS('Defensa'!$I$6:$I$10,'Defensa'!$B$6:$B$10,$A81,'Defensa'!$E$6:$E$10,"Ambos")</f>
        <v/>
      </c>
      <c r="F81" s="21">
        <f>COUNTIFS('S1'!$B$6:$B$32,$A81,'S1'!$E$6:$E$32,"Víctor")+COUNTIFS('S1'!$B$6:$B$32,$A81,'S1'!$E$6:$E$32,"Ambos")+COUNTIFS('S2'!$B$6:$B$23,$A81,'S2'!$E$6:$E$23,"Víctor")+COUNTIFS('S2'!$B$6:$B$23,$A81,'S2'!$E$6:$E$23,"Ambos")+COUNTIFS('S3'!$B$6:$B$24,$A81,'S3'!$E$6:$E$24,"Víctor")+COUNTIFS('S3'!$B$6:$B$24,$A81,'S3'!$E$6:$E$24,"Ambos")+COUNTIFS('S4'!$B$6:$B$22,$A81,'S4'!$E$6:$E$22,"Víctor")+COUNTIFS('S4'!$B$6:$B$22,$A81,'S4'!$E$6:$E$22,"Ambos")+COUNTIFS('S5'!$B$6:$B$20,$A81,'S5'!$E$6:$E$20,"Víctor")+COUNTIFS('S5'!$B$6:$B$20,$A81,'S5'!$E$6:$E$20,"Ambos")+COUNTIFS('S6'!$B$6:$B$17,$A81,'S6'!$E$6:$E$17,"Víctor")+COUNTIFS('S6'!$B$6:$B$17,$A81,'S6'!$E$6:$E$17,"Ambos")+COUNTIFS('S7'!$B$6:$B$19,$A81,'S7'!$E$6:$E$19,"Víctor")+COUNTIFS('S7'!$B$6:$B$19,$A81,'S7'!$E$6:$E$19,"Ambos")+COUNTIFS('S8'!$B$6:$B$23,$A81,'S8'!$E$6:$E$23,"Víctor")+COUNTIFS('S8'!$B$6:$B$23,$A81,'S8'!$E$6:$E$23,"Ambos")+COUNTIFS('S9'!$B$6:$B$15,$A81,'S9'!$E$6:$E$15,"Víctor")+COUNTIFS('S9'!$B$6:$B$15,$A81,'S9'!$E$6:$E$15,"Ambos")+COUNTIFS('S10'!$B$6:$B$13,$A81,'S10'!$E$6:$E$13,"Víctor")+COUNTIFS('S10'!$B$6:$B$13,$A81,'S10'!$E$6:$E$13,"Ambos")+COUNTIFS('Holgura'!$B$6:$B$11,$A81,'Holgura'!$E$6:$E$11,"Víctor")+COUNTIFS('Holgura'!$B$6:$B$11,$A81,'Holgura'!$E$6:$E$11,"Ambos")+COUNTIFS('Entrega'!$B$6:$B$9,$A81,'Entrega'!$E$6:$E$9,"Víctor")+COUNTIFS('Entrega'!$B$6:$B$9,$A81,'Entrega'!$E$6:$E$9,"Ambos")+COUNTIFS('Defensa'!$B$6:$B$10,$A81,'Defensa'!$E$6:$E$10,"Víctor")+COUNTIFS('Defensa'!$B$6:$B$10,$A81,'Defensa'!$E$6:$E$10,"Ambos")</f>
        <v/>
      </c>
      <c r="G81" s="21">
        <f>COUNTIFS('S1'!$B$6:$B$32,$A81,'S1'!$E$6:$E$32,"Diego")+COUNTIFS('S1'!$B$6:$B$32,$A81,'S1'!$E$6:$E$32,"Ambos")+COUNTIFS('S2'!$B$6:$B$23,$A81,'S2'!$E$6:$E$23,"Diego")+COUNTIFS('S2'!$B$6:$B$23,$A81,'S2'!$E$6:$E$23,"Ambos")+COUNTIFS('S3'!$B$6:$B$24,$A81,'S3'!$E$6:$E$24,"Diego")+COUNTIFS('S3'!$B$6:$B$24,$A81,'S3'!$E$6:$E$24,"Ambos")+COUNTIFS('S4'!$B$6:$B$22,$A81,'S4'!$E$6:$E$22,"Diego")+COUNTIFS('S4'!$B$6:$B$22,$A81,'S4'!$E$6:$E$22,"Ambos")+COUNTIFS('S5'!$B$6:$B$20,$A81,'S5'!$E$6:$E$20,"Diego")+COUNTIFS('S5'!$B$6:$B$20,$A81,'S5'!$E$6:$E$20,"Ambos")+COUNTIFS('S6'!$B$6:$B$17,$A81,'S6'!$E$6:$E$17,"Diego")+COUNTIFS('S6'!$B$6:$B$17,$A81,'S6'!$E$6:$E$17,"Ambos")+COUNTIFS('S7'!$B$6:$B$19,$A81,'S7'!$E$6:$E$19,"Diego")+COUNTIFS('S7'!$B$6:$B$19,$A81,'S7'!$E$6:$E$19,"Ambos")+COUNTIFS('S8'!$B$6:$B$23,$A81,'S8'!$E$6:$E$23,"Diego")+COUNTIFS('S8'!$B$6:$B$23,$A81,'S8'!$E$6:$E$23,"Ambos")+COUNTIFS('S9'!$B$6:$B$15,$A81,'S9'!$E$6:$E$15,"Diego")+COUNTIFS('S9'!$B$6:$B$15,$A81,'S9'!$E$6:$E$15,"Ambos")+COUNTIFS('S10'!$B$6:$B$13,$A81,'S10'!$E$6:$E$13,"Diego")+COUNTIFS('S10'!$B$6:$B$13,$A81,'S10'!$E$6:$E$13,"Ambos")+COUNTIFS('Holgura'!$B$6:$B$11,$A81,'Holgura'!$E$6:$E$11,"Diego")+COUNTIFS('Holgura'!$B$6:$B$11,$A81,'Holgura'!$E$6:$E$11,"Ambos")+COUNTIFS('Entrega'!$B$6:$B$9,$A81,'Entrega'!$E$6:$E$9,"Diego")+COUNTIFS('Entrega'!$B$6:$B$9,$A81,'Entrega'!$E$6:$E$9,"Ambos")+COUNTIFS('Defensa'!$B$6:$B$10,$A81,'Defensa'!$E$6:$E$10,"Diego")+COUNTIFS('Defensa'!$B$6:$B$10,$A81,'Defensa'!$E$6:$E$10,"Ambos")</f>
        <v/>
      </c>
    </row>
    <row r="82">
      <c r="A82" s="25" t="n">
        <v>46384</v>
      </c>
      <c r="B82" s="26">
        <f>A82</f>
        <v/>
      </c>
      <c r="C82" s="21">
        <f>IF(WEEKDAY(A82,2)&gt;5,4,2)</f>
        <v/>
      </c>
      <c r="D82" s="21">
        <f>SUMIFS('S1'!$I$6:$I$32,'S1'!$B$6:$B$32,$A82,'S1'!$E$6:$E$32,"Víctor")+SUMIFS('S1'!$I$6:$I$32,'S1'!$B$6:$B$32,$A82,'S1'!$E$6:$E$32,"Ambos")+SUMIFS('S2'!$I$6:$I$23,'S2'!$B$6:$B$23,$A82,'S2'!$E$6:$E$23,"Víctor")+SUMIFS('S2'!$I$6:$I$23,'S2'!$B$6:$B$23,$A82,'S2'!$E$6:$E$23,"Ambos")+SUMIFS('S3'!$I$6:$I$24,'S3'!$B$6:$B$24,$A82,'S3'!$E$6:$E$24,"Víctor")+SUMIFS('S3'!$I$6:$I$24,'S3'!$B$6:$B$24,$A82,'S3'!$E$6:$E$24,"Ambos")+SUMIFS('S4'!$I$6:$I$22,'S4'!$B$6:$B$22,$A82,'S4'!$E$6:$E$22,"Víctor")+SUMIFS('S4'!$I$6:$I$22,'S4'!$B$6:$B$22,$A82,'S4'!$E$6:$E$22,"Ambos")+SUMIFS('S5'!$I$6:$I$20,'S5'!$B$6:$B$20,$A82,'S5'!$E$6:$E$20,"Víctor")+SUMIFS('S5'!$I$6:$I$20,'S5'!$B$6:$B$20,$A82,'S5'!$E$6:$E$20,"Ambos")+SUMIFS('S6'!$I$6:$I$17,'S6'!$B$6:$B$17,$A82,'S6'!$E$6:$E$17,"Víctor")+SUMIFS('S6'!$I$6:$I$17,'S6'!$B$6:$B$17,$A82,'S6'!$E$6:$E$17,"Ambos")+SUMIFS('S7'!$I$6:$I$19,'S7'!$B$6:$B$19,$A82,'S7'!$E$6:$E$19,"Víctor")+SUMIFS('S7'!$I$6:$I$19,'S7'!$B$6:$B$19,$A82,'S7'!$E$6:$E$19,"Ambos")+SUMIFS('S8'!$I$6:$I$23,'S8'!$B$6:$B$23,$A82,'S8'!$E$6:$E$23,"Víctor")+SUMIFS('S8'!$I$6:$I$23,'S8'!$B$6:$B$23,$A82,'S8'!$E$6:$E$23,"Ambos")+SUMIFS('S9'!$I$6:$I$15,'S9'!$B$6:$B$15,$A82,'S9'!$E$6:$E$15,"Víctor")+SUMIFS('S9'!$I$6:$I$15,'S9'!$B$6:$B$15,$A82,'S9'!$E$6:$E$15,"Ambos")+SUMIFS('S10'!$I$6:$I$13,'S10'!$B$6:$B$13,$A82,'S10'!$E$6:$E$13,"Víctor")+SUMIFS('S10'!$I$6:$I$13,'S10'!$B$6:$B$13,$A82,'S10'!$E$6:$E$13,"Ambos")+SUMIFS('Holgura'!$I$6:$I$11,'Holgura'!$B$6:$B$11,$A82,'Holgura'!$E$6:$E$11,"Víctor")+SUMIFS('Holgura'!$I$6:$I$11,'Holgura'!$B$6:$B$11,$A82,'Holgura'!$E$6:$E$11,"Ambos")+SUMIFS('Entrega'!$I$6:$I$9,'Entrega'!$B$6:$B$9,$A82,'Entrega'!$E$6:$E$9,"Víctor")+SUMIFS('Entrega'!$I$6:$I$9,'Entrega'!$B$6:$B$9,$A82,'Entrega'!$E$6:$E$9,"Ambos")+SUMIFS('Defensa'!$I$6:$I$10,'Defensa'!$B$6:$B$10,$A82,'Defensa'!$E$6:$E$10,"Víctor")+SUMIFS('Defensa'!$I$6:$I$10,'Defensa'!$B$6:$B$10,$A82,'Defensa'!$E$6:$E$10,"Ambos")</f>
        <v/>
      </c>
      <c r="E82" s="21">
        <f>SUMIFS('S1'!$I$6:$I$32,'S1'!$B$6:$B$32,$A82,'S1'!$E$6:$E$32,"Diego")+SUMIFS('S1'!$I$6:$I$32,'S1'!$B$6:$B$32,$A82,'S1'!$E$6:$E$32,"Ambos")+SUMIFS('S2'!$I$6:$I$23,'S2'!$B$6:$B$23,$A82,'S2'!$E$6:$E$23,"Diego")+SUMIFS('S2'!$I$6:$I$23,'S2'!$B$6:$B$23,$A82,'S2'!$E$6:$E$23,"Ambos")+SUMIFS('S3'!$I$6:$I$24,'S3'!$B$6:$B$24,$A82,'S3'!$E$6:$E$24,"Diego")+SUMIFS('S3'!$I$6:$I$24,'S3'!$B$6:$B$24,$A82,'S3'!$E$6:$E$24,"Ambos")+SUMIFS('S4'!$I$6:$I$22,'S4'!$B$6:$B$22,$A82,'S4'!$E$6:$E$22,"Diego")+SUMIFS('S4'!$I$6:$I$22,'S4'!$B$6:$B$22,$A82,'S4'!$E$6:$E$22,"Ambos")+SUMIFS('S5'!$I$6:$I$20,'S5'!$B$6:$B$20,$A82,'S5'!$E$6:$E$20,"Diego")+SUMIFS('S5'!$I$6:$I$20,'S5'!$B$6:$B$20,$A82,'S5'!$E$6:$E$20,"Ambos")+SUMIFS('S6'!$I$6:$I$17,'S6'!$B$6:$B$17,$A82,'S6'!$E$6:$E$17,"Diego")+SUMIFS('S6'!$I$6:$I$17,'S6'!$B$6:$B$17,$A82,'S6'!$E$6:$E$17,"Ambos")+SUMIFS('S7'!$I$6:$I$19,'S7'!$B$6:$B$19,$A82,'S7'!$E$6:$E$19,"Diego")+SUMIFS('S7'!$I$6:$I$19,'S7'!$B$6:$B$19,$A82,'S7'!$E$6:$E$19,"Ambos")+SUMIFS('S8'!$I$6:$I$23,'S8'!$B$6:$B$23,$A82,'S8'!$E$6:$E$23,"Diego")+SUMIFS('S8'!$I$6:$I$23,'S8'!$B$6:$B$23,$A82,'S8'!$E$6:$E$23,"Ambos")+SUMIFS('S9'!$I$6:$I$15,'S9'!$B$6:$B$15,$A82,'S9'!$E$6:$E$15,"Diego")+SUMIFS('S9'!$I$6:$I$15,'S9'!$B$6:$B$15,$A82,'S9'!$E$6:$E$15,"Ambos")+SUMIFS('S10'!$I$6:$I$13,'S10'!$B$6:$B$13,$A82,'S10'!$E$6:$E$13,"Diego")+SUMIFS('S10'!$I$6:$I$13,'S10'!$B$6:$B$13,$A82,'S10'!$E$6:$E$13,"Ambos")+SUMIFS('Holgura'!$I$6:$I$11,'Holgura'!$B$6:$B$11,$A82,'Holgura'!$E$6:$E$11,"Diego")+SUMIFS('Holgura'!$I$6:$I$11,'Holgura'!$B$6:$B$11,$A82,'Holgura'!$E$6:$E$11,"Ambos")+SUMIFS('Entrega'!$I$6:$I$9,'Entrega'!$B$6:$B$9,$A82,'Entrega'!$E$6:$E$9,"Diego")+SUMIFS('Entrega'!$I$6:$I$9,'Entrega'!$B$6:$B$9,$A82,'Entrega'!$E$6:$E$9,"Ambos")+SUMIFS('Defensa'!$I$6:$I$10,'Defensa'!$B$6:$B$10,$A82,'Defensa'!$E$6:$E$10,"Diego")+SUMIFS('Defensa'!$I$6:$I$10,'Defensa'!$B$6:$B$10,$A82,'Defensa'!$E$6:$E$10,"Ambos")</f>
        <v/>
      </c>
      <c r="F82" s="21">
        <f>COUNTIFS('S1'!$B$6:$B$32,$A82,'S1'!$E$6:$E$32,"Víctor")+COUNTIFS('S1'!$B$6:$B$32,$A82,'S1'!$E$6:$E$32,"Ambos")+COUNTIFS('S2'!$B$6:$B$23,$A82,'S2'!$E$6:$E$23,"Víctor")+COUNTIFS('S2'!$B$6:$B$23,$A82,'S2'!$E$6:$E$23,"Ambos")+COUNTIFS('S3'!$B$6:$B$24,$A82,'S3'!$E$6:$E$24,"Víctor")+COUNTIFS('S3'!$B$6:$B$24,$A82,'S3'!$E$6:$E$24,"Ambos")+COUNTIFS('S4'!$B$6:$B$22,$A82,'S4'!$E$6:$E$22,"Víctor")+COUNTIFS('S4'!$B$6:$B$22,$A82,'S4'!$E$6:$E$22,"Ambos")+COUNTIFS('S5'!$B$6:$B$20,$A82,'S5'!$E$6:$E$20,"Víctor")+COUNTIFS('S5'!$B$6:$B$20,$A82,'S5'!$E$6:$E$20,"Ambos")+COUNTIFS('S6'!$B$6:$B$17,$A82,'S6'!$E$6:$E$17,"Víctor")+COUNTIFS('S6'!$B$6:$B$17,$A82,'S6'!$E$6:$E$17,"Ambos")+COUNTIFS('S7'!$B$6:$B$19,$A82,'S7'!$E$6:$E$19,"Víctor")+COUNTIFS('S7'!$B$6:$B$19,$A82,'S7'!$E$6:$E$19,"Ambos")+COUNTIFS('S8'!$B$6:$B$23,$A82,'S8'!$E$6:$E$23,"Víctor")+COUNTIFS('S8'!$B$6:$B$23,$A82,'S8'!$E$6:$E$23,"Ambos")+COUNTIFS('S9'!$B$6:$B$15,$A82,'S9'!$E$6:$E$15,"Víctor")+COUNTIFS('S9'!$B$6:$B$15,$A82,'S9'!$E$6:$E$15,"Ambos")+COUNTIFS('S10'!$B$6:$B$13,$A82,'S10'!$E$6:$E$13,"Víctor")+COUNTIFS('S10'!$B$6:$B$13,$A82,'S10'!$E$6:$E$13,"Ambos")+COUNTIFS('Holgura'!$B$6:$B$11,$A82,'Holgura'!$E$6:$E$11,"Víctor")+COUNTIFS('Holgura'!$B$6:$B$11,$A82,'Holgura'!$E$6:$E$11,"Ambos")+COUNTIFS('Entrega'!$B$6:$B$9,$A82,'Entrega'!$E$6:$E$9,"Víctor")+COUNTIFS('Entrega'!$B$6:$B$9,$A82,'Entrega'!$E$6:$E$9,"Ambos")+COUNTIFS('Defensa'!$B$6:$B$10,$A82,'Defensa'!$E$6:$E$10,"Víctor")+COUNTIFS('Defensa'!$B$6:$B$10,$A82,'Defensa'!$E$6:$E$10,"Ambos")</f>
        <v/>
      </c>
      <c r="G82" s="21">
        <f>COUNTIFS('S1'!$B$6:$B$32,$A82,'S1'!$E$6:$E$32,"Diego")+COUNTIFS('S1'!$B$6:$B$32,$A82,'S1'!$E$6:$E$32,"Ambos")+COUNTIFS('S2'!$B$6:$B$23,$A82,'S2'!$E$6:$E$23,"Diego")+COUNTIFS('S2'!$B$6:$B$23,$A82,'S2'!$E$6:$E$23,"Ambos")+COUNTIFS('S3'!$B$6:$B$24,$A82,'S3'!$E$6:$E$24,"Diego")+COUNTIFS('S3'!$B$6:$B$24,$A82,'S3'!$E$6:$E$24,"Ambos")+COUNTIFS('S4'!$B$6:$B$22,$A82,'S4'!$E$6:$E$22,"Diego")+COUNTIFS('S4'!$B$6:$B$22,$A82,'S4'!$E$6:$E$22,"Ambos")+COUNTIFS('S5'!$B$6:$B$20,$A82,'S5'!$E$6:$E$20,"Diego")+COUNTIFS('S5'!$B$6:$B$20,$A82,'S5'!$E$6:$E$20,"Ambos")+COUNTIFS('S6'!$B$6:$B$17,$A82,'S6'!$E$6:$E$17,"Diego")+COUNTIFS('S6'!$B$6:$B$17,$A82,'S6'!$E$6:$E$17,"Ambos")+COUNTIFS('S7'!$B$6:$B$19,$A82,'S7'!$E$6:$E$19,"Diego")+COUNTIFS('S7'!$B$6:$B$19,$A82,'S7'!$E$6:$E$19,"Ambos")+COUNTIFS('S8'!$B$6:$B$23,$A82,'S8'!$E$6:$E$23,"Diego")+COUNTIFS('S8'!$B$6:$B$23,$A82,'S8'!$E$6:$E$23,"Ambos")+COUNTIFS('S9'!$B$6:$B$15,$A82,'S9'!$E$6:$E$15,"Diego")+COUNTIFS('S9'!$B$6:$B$15,$A82,'S9'!$E$6:$E$15,"Ambos")+COUNTIFS('S10'!$B$6:$B$13,$A82,'S10'!$E$6:$E$13,"Diego")+COUNTIFS('S10'!$B$6:$B$13,$A82,'S10'!$E$6:$E$13,"Ambos")+COUNTIFS('Holgura'!$B$6:$B$11,$A82,'Holgura'!$E$6:$E$11,"Diego")+COUNTIFS('Holgura'!$B$6:$B$11,$A82,'Holgura'!$E$6:$E$11,"Ambos")+COUNTIFS('Entrega'!$B$6:$B$9,$A82,'Entrega'!$E$6:$E$9,"Diego")+COUNTIFS('Entrega'!$B$6:$B$9,$A82,'Entrega'!$E$6:$E$9,"Ambos")+COUNTIFS('Defensa'!$B$6:$B$10,$A82,'Defensa'!$E$6:$E$10,"Diego")+COUNTIFS('Defensa'!$B$6:$B$10,$A82,'Defensa'!$E$6:$E$10,"Ambos")</f>
        <v/>
      </c>
    </row>
    <row r="83">
      <c r="A83" s="25" t="n">
        <v>46385</v>
      </c>
      <c r="B83" s="26">
        <f>A83</f>
        <v/>
      </c>
      <c r="C83" s="21">
        <f>IF(WEEKDAY(A83,2)&gt;5,4,2)</f>
        <v/>
      </c>
      <c r="D83" s="21">
        <f>SUMIFS('S1'!$I$6:$I$32,'S1'!$B$6:$B$32,$A83,'S1'!$E$6:$E$32,"Víctor")+SUMIFS('S1'!$I$6:$I$32,'S1'!$B$6:$B$32,$A83,'S1'!$E$6:$E$32,"Ambos")+SUMIFS('S2'!$I$6:$I$23,'S2'!$B$6:$B$23,$A83,'S2'!$E$6:$E$23,"Víctor")+SUMIFS('S2'!$I$6:$I$23,'S2'!$B$6:$B$23,$A83,'S2'!$E$6:$E$23,"Ambos")+SUMIFS('S3'!$I$6:$I$24,'S3'!$B$6:$B$24,$A83,'S3'!$E$6:$E$24,"Víctor")+SUMIFS('S3'!$I$6:$I$24,'S3'!$B$6:$B$24,$A83,'S3'!$E$6:$E$24,"Ambos")+SUMIFS('S4'!$I$6:$I$22,'S4'!$B$6:$B$22,$A83,'S4'!$E$6:$E$22,"Víctor")+SUMIFS('S4'!$I$6:$I$22,'S4'!$B$6:$B$22,$A83,'S4'!$E$6:$E$22,"Ambos")+SUMIFS('S5'!$I$6:$I$20,'S5'!$B$6:$B$20,$A83,'S5'!$E$6:$E$20,"Víctor")+SUMIFS('S5'!$I$6:$I$20,'S5'!$B$6:$B$20,$A83,'S5'!$E$6:$E$20,"Ambos")+SUMIFS('S6'!$I$6:$I$17,'S6'!$B$6:$B$17,$A83,'S6'!$E$6:$E$17,"Víctor")+SUMIFS('S6'!$I$6:$I$17,'S6'!$B$6:$B$17,$A83,'S6'!$E$6:$E$17,"Ambos")+SUMIFS('S7'!$I$6:$I$19,'S7'!$B$6:$B$19,$A83,'S7'!$E$6:$E$19,"Víctor")+SUMIFS('S7'!$I$6:$I$19,'S7'!$B$6:$B$19,$A83,'S7'!$E$6:$E$19,"Ambos")+SUMIFS('S8'!$I$6:$I$23,'S8'!$B$6:$B$23,$A83,'S8'!$E$6:$E$23,"Víctor")+SUMIFS('S8'!$I$6:$I$23,'S8'!$B$6:$B$23,$A83,'S8'!$E$6:$E$23,"Ambos")+SUMIFS('S9'!$I$6:$I$15,'S9'!$B$6:$B$15,$A83,'S9'!$E$6:$E$15,"Víctor")+SUMIFS('S9'!$I$6:$I$15,'S9'!$B$6:$B$15,$A83,'S9'!$E$6:$E$15,"Ambos")+SUMIFS('S10'!$I$6:$I$13,'S10'!$B$6:$B$13,$A83,'S10'!$E$6:$E$13,"Víctor")+SUMIFS('S10'!$I$6:$I$13,'S10'!$B$6:$B$13,$A83,'S10'!$E$6:$E$13,"Ambos")+SUMIFS('Holgura'!$I$6:$I$11,'Holgura'!$B$6:$B$11,$A83,'Holgura'!$E$6:$E$11,"Víctor")+SUMIFS('Holgura'!$I$6:$I$11,'Holgura'!$B$6:$B$11,$A83,'Holgura'!$E$6:$E$11,"Ambos")+SUMIFS('Entrega'!$I$6:$I$9,'Entrega'!$B$6:$B$9,$A83,'Entrega'!$E$6:$E$9,"Víctor")+SUMIFS('Entrega'!$I$6:$I$9,'Entrega'!$B$6:$B$9,$A83,'Entrega'!$E$6:$E$9,"Ambos")+SUMIFS('Defensa'!$I$6:$I$10,'Defensa'!$B$6:$B$10,$A83,'Defensa'!$E$6:$E$10,"Víctor")+SUMIFS('Defensa'!$I$6:$I$10,'Defensa'!$B$6:$B$10,$A83,'Defensa'!$E$6:$E$10,"Ambos")</f>
        <v/>
      </c>
      <c r="E83" s="21">
        <f>SUMIFS('S1'!$I$6:$I$32,'S1'!$B$6:$B$32,$A83,'S1'!$E$6:$E$32,"Diego")+SUMIFS('S1'!$I$6:$I$32,'S1'!$B$6:$B$32,$A83,'S1'!$E$6:$E$32,"Ambos")+SUMIFS('S2'!$I$6:$I$23,'S2'!$B$6:$B$23,$A83,'S2'!$E$6:$E$23,"Diego")+SUMIFS('S2'!$I$6:$I$23,'S2'!$B$6:$B$23,$A83,'S2'!$E$6:$E$23,"Ambos")+SUMIFS('S3'!$I$6:$I$24,'S3'!$B$6:$B$24,$A83,'S3'!$E$6:$E$24,"Diego")+SUMIFS('S3'!$I$6:$I$24,'S3'!$B$6:$B$24,$A83,'S3'!$E$6:$E$24,"Ambos")+SUMIFS('S4'!$I$6:$I$22,'S4'!$B$6:$B$22,$A83,'S4'!$E$6:$E$22,"Diego")+SUMIFS('S4'!$I$6:$I$22,'S4'!$B$6:$B$22,$A83,'S4'!$E$6:$E$22,"Ambos")+SUMIFS('S5'!$I$6:$I$20,'S5'!$B$6:$B$20,$A83,'S5'!$E$6:$E$20,"Diego")+SUMIFS('S5'!$I$6:$I$20,'S5'!$B$6:$B$20,$A83,'S5'!$E$6:$E$20,"Ambos")+SUMIFS('S6'!$I$6:$I$17,'S6'!$B$6:$B$17,$A83,'S6'!$E$6:$E$17,"Diego")+SUMIFS('S6'!$I$6:$I$17,'S6'!$B$6:$B$17,$A83,'S6'!$E$6:$E$17,"Ambos")+SUMIFS('S7'!$I$6:$I$19,'S7'!$B$6:$B$19,$A83,'S7'!$E$6:$E$19,"Diego")+SUMIFS('S7'!$I$6:$I$19,'S7'!$B$6:$B$19,$A83,'S7'!$E$6:$E$19,"Ambos")+SUMIFS('S8'!$I$6:$I$23,'S8'!$B$6:$B$23,$A83,'S8'!$E$6:$E$23,"Diego")+SUMIFS('S8'!$I$6:$I$23,'S8'!$B$6:$B$23,$A83,'S8'!$E$6:$E$23,"Ambos")+SUMIFS('S9'!$I$6:$I$15,'S9'!$B$6:$B$15,$A83,'S9'!$E$6:$E$15,"Diego")+SUMIFS('S9'!$I$6:$I$15,'S9'!$B$6:$B$15,$A83,'S9'!$E$6:$E$15,"Ambos")+SUMIFS('S10'!$I$6:$I$13,'S10'!$B$6:$B$13,$A83,'S10'!$E$6:$E$13,"Diego")+SUMIFS('S10'!$I$6:$I$13,'S10'!$B$6:$B$13,$A83,'S10'!$E$6:$E$13,"Ambos")+SUMIFS('Holgura'!$I$6:$I$11,'Holgura'!$B$6:$B$11,$A83,'Holgura'!$E$6:$E$11,"Diego")+SUMIFS('Holgura'!$I$6:$I$11,'Holgura'!$B$6:$B$11,$A83,'Holgura'!$E$6:$E$11,"Ambos")+SUMIFS('Entrega'!$I$6:$I$9,'Entrega'!$B$6:$B$9,$A83,'Entrega'!$E$6:$E$9,"Diego")+SUMIFS('Entrega'!$I$6:$I$9,'Entrega'!$B$6:$B$9,$A83,'Entrega'!$E$6:$E$9,"Ambos")+SUMIFS('Defensa'!$I$6:$I$10,'Defensa'!$B$6:$B$10,$A83,'Defensa'!$E$6:$E$10,"Diego")+SUMIFS('Defensa'!$I$6:$I$10,'Defensa'!$B$6:$B$10,$A83,'Defensa'!$E$6:$E$10,"Ambos")</f>
        <v/>
      </c>
      <c r="F83" s="21">
        <f>COUNTIFS('S1'!$B$6:$B$32,$A83,'S1'!$E$6:$E$32,"Víctor")+COUNTIFS('S1'!$B$6:$B$32,$A83,'S1'!$E$6:$E$32,"Ambos")+COUNTIFS('S2'!$B$6:$B$23,$A83,'S2'!$E$6:$E$23,"Víctor")+COUNTIFS('S2'!$B$6:$B$23,$A83,'S2'!$E$6:$E$23,"Ambos")+COUNTIFS('S3'!$B$6:$B$24,$A83,'S3'!$E$6:$E$24,"Víctor")+COUNTIFS('S3'!$B$6:$B$24,$A83,'S3'!$E$6:$E$24,"Ambos")+COUNTIFS('S4'!$B$6:$B$22,$A83,'S4'!$E$6:$E$22,"Víctor")+COUNTIFS('S4'!$B$6:$B$22,$A83,'S4'!$E$6:$E$22,"Ambos")+COUNTIFS('S5'!$B$6:$B$20,$A83,'S5'!$E$6:$E$20,"Víctor")+COUNTIFS('S5'!$B$6:$B$20,$A83,'S5'!$E$6:$E$20,"Ambos")+COUNTIFS('S6'!$B$6:$B$17,$A83,'S6'!$E$6:$E$17,"Víctor")+COUNTIFS('S6'!$B$6:$B$17,$A83,'S6'!$E$6:$E$17,"Ambos")+COUNTIFS('S7'!$B$6:$B$19,$A83,'S7'!$E$6:$E$19,"Víctor")+COUNTIFS('S7'!$B$6:$B$19,$A83,'S7'!$E$6:$E$19,"Ambos")+COUNTIFS('S8'!$B$6:$B$23,$A83,'S8'!$E$6:$E$23,"Víctor")+COUNTIFS('S8'!$B$6:$B$23,$A83,'S8'!$E$6:$E$23,"Ambos")+COUNTIFS('S9'!$B$6:$B$15,$A83,'S9'!$E$6:$E$15,"Víctor")+COUNTIFS('S9'!$B$6:$B$15,$A83,'S9'!$E$6:$E$15,"Ambos")+COUNTIFS('S10'!$B$6:$B$13,$A83,'S10'!$E$6:$E$13,"Víctor")+COUNTIFS('S10'!$B$6:$B$13,$A83,'S10'!$E$6:$E$13,"Ambos")+COUNTIFS('Holgura'!$B$6:$B$11,$A83,'Holgura'!$E$6:$E$11,"Víctor")+COUNTIFS('Holgura'!$B$6:$B$11,$A83,'Holgura'!$E$6:$E$11,"Ambos")+COUNTIFS('Entrega'!$B$6:$B$9,$A83,'Entrega'!$E$6:$E$9,"Víctor")+COUNTIFS('Entrega'!$B$6:$B$9,$A83,'Entrega'!$E$6:$E$9,"Ambos")+COUNTIFS('Defensa'!$B$6:$B$10,$A83,'Defensa'!$E$6:$E$10,"Víctor")+COUNTIFS('Defensa'!$B$6:$B$10,$A83,'Defensa'!$E$6:$E$10,"Ambos")</f>
        <v/>
      </c>
      <c r="G83" s="21">
        <f>COUNTIFS('S1'!$B$6:$B$32,$A83,'S1'!$E$6:$E$32,"Diego")+COUNTIFS('S1'!$B$6:$B$32,$A83,'S1'!$E$6:$E$32,"Ambos")+COUNTIFS('S2'!$B$6:$B$23,$A83,'S2'!$E$6:$E$23,"Diego")+COUNTIFS('S2'!$B$6:$B$23,$A83,'S2'!$E$6:$E$23,"Ambos")+COUNTIFS('S3'!$B$6:$B$24,$A83,'S3'!$E$6:$E$24,"Diego")+COUNTIFS('S3'!$B$6:$B$24,$A83,'S3'!$E$6:$E$24,"Ambos")+COUNTIFS('S4'!$B$6:$B$22,$A83,'S4'!$E$6:$E$22,"Diego")+COUNTIFS('S4'!$B$6:$B$22,$A83,'S4'!$E$6:$E$22,"Ambos")+COUNTIFS('S5'!$B$6:$B$20,$A83,'S5'!$E$6:$E$20,"Diego")+COUNTIFS('S5'!$B$6:$B$20,$A83,'S5'!$E$6:$E$20,"Ambos")+COUNTIFS('S6'!$B$6:$B$17,$A83,'S6'!$E$6:$E$17,"Diego")+COUNTIFS('S6'!$B$6:$B$17,$A83,'S6'!$E$6:$E$17,"Ambos")+COUNTIFS('S7'!$B$6:$B$19,$A83,'S7'!$E$6:$E$19,"Diego")+COUNTIFS('S7'!$B$6:$B$19,$A83,'S7'!$E$6:$E$19,"Ambos")+COUNTIFS('S8'!$B$6:$B$23,$A83,'S8'!$E$6:$E$23,"Diego")+COUNTIFS('S8'!$B$6:$B$23,$A83,'S8'!$E$6:$E$23,"Ambos")+COUNTIFS('S9'!$B$6:$B$15,$A83,'S9'!$E$6:$E$15,"Diego")+COUNTIFS('S9'!$B$6:$B$15,$A83,'S9'!$E$6:$E$15,"Ambos")+COUNTIFS('S10'!$B$6:$B$13,$A83,'S10'!$E$6:$E$13,"Diego")+COUNTIFS('S10'!$B$6:$B$13,$A83,'S10'!$E$6:$E$13,"Ambos")+COUNTIFS('Holgura'!$B$6:$B$11,$A83,'Holgura'!$E$6:$E$11,"Diego")+COUNTIFS('Holgura'!$B$6:$B$11,$A83,'Holgura'!$E$6:$E$11,"Ambos")+COUNTIFS('Entrega'!$B$6:$B$9,$A83,'Entrega'!$E$6:$E$9,"Diego")+COUNTIFS('Entrega'!$B$6:$B$9,$A83,'Entrega'!$E$6:$E$9,"Ambos")+COUNTIFS('Defensa'!$B$6:$B$10,$A83,'Defensa'!$E$6:$E$10,"Diego")+COUNTIFS('Defensa'!$B$6:$B$10,$A83,'Defensa'!$E$6:$E$10,"Ambos")</f>
        <v/>
      </c>
    </row>
    <row r="84">
      <c r="A84" s="25" t="n">
        <v>46386</v>
      </c>
      <c r="B84" s="26">
        <f>A84</f>
        <v/>
      </c>
      <c r="C84" s="21">
        <f>IF(WEEKDAY(A84,2)&gt;5,4,2)</f>
        <v/>
      </c>
      <c r="D84" s="21">
        <f>SUMIFS('S1'!$I$6:$I$32,'S1'!$B$6:$B$32,$A84,'S1'!$E$6:$E$32,"Víctor")+SUMIFS('S1'!$I$6:$I$32,'S1'!$B$6:$B$32,$A84,'S1'!$E$6:$E$32,"Ambos")+SUMIFS('S2'!$I$6:$I$23,'S2'!$B$6:$B$23,$A84,'S2'!$E$6:$E$23,"Víctor")+SUMIFS('S2'!$I$6:$I$23,'S2'!$B$6:$B$23,$A84,'S2'!$E$6:$E$23,"Ambos")+SUMIFS('S3'!$I$6:$I$24,'S3'!$B$6:$B$24,$A84,'S3'!$E$6:$E$24,"Víctor")+SUMIFS('S3'!$I$6:$I$24,'S3'!$B$6:$B$24,$A84,'S3'!$E$6:$E$24,"Ambos")+SUMIFS('S4'!$I$6:$I$22,'S4'!$B$6:$B$22,$A84,'S4'!$E$6:$E$22,"Víctor")+SUMIFS('S4'!$I$6:$I$22,'S4'!$B$6:$B$22,$A84,'S4'!$E$6:$E$22,"Ambos")+SUMIFS('S5'!$I$6:$I$20,'S5'!$B$6:$B$20,$A84,'S5'!$E$6:$E$20,"Víctor")+SUMIFS('S5'!$I$6:$I$20,'S5'!$B$6:$B$20,$A84,'S5'!$E$6:$E$20,"Ambos")+SUMIFS('S6'!$I$6:$I$17,'S6'!$B$6:$B$17,$A84,'S6'!$E$6:$E$17,"Víctor")+SUMIFS('S6'!$I$6:$I$17,'S6'!$B$6:$B$17,$A84,'S6'!$E$6:$E$17,"Ambos")+SUMIFS('S7'!$I$6:$I$19,'S7'!$B$6:$B$19,$A84,'S7'!$E$6:$E$19,"Víctor")+SUMIFS('S7'!$I$6:$I$19,'S7'!$B$6:$B$19,$A84,'S7'!$E$6:$E$19,"Ambos")+SUMIFS('S8'!$I$6:$I$23,'S8'!$B$6:$B$23,$A84,'S8'!$E$6:$E$23,"Víctor")+SUMIFS('S8'!$I$6:$I$23,'S8'!$B$6:$B$23,$A84,'S8'!$E$6:$E$23,"Ambos")+SUMIFS('S9'!$I$6:$I$15,'S9'!$B$6:$B$15,$A84,'S9'!$E$6:$E$15,"Víctor")+SUMIFS('S9'!$I$6:$I$15,'S9'!$B$6:$B$15,$A84,'S9'!$E$6:$E$15,"Ambos")+SUMIFS('S10'!$I$6:$I$13,'S10'!$B$6:$B$13,$A84,'S10'!$E$6:$E$13,"Víctor")+SUMIFS('S10'!$I$6:$I$13,'S10'!$B$6:$B$13,$A84,'S10'!$E$6:$E$13,"Ambos")+SUMIFS('Holgura'!$I$6:$I$11,'Holgura'!$B$6:$B$11,$A84,'Holgura'!$E$6:$E$11,"Víctor")+SUMIFS('Holgura'!$I$6:$I$11,'Holgura'!$B$6:$B$11,$A84,'Holgura'!$E$6:$E$11,"Ambos")+SUMIFS('Entrega'!$I$6:$I$9,'Entrega'!$B$6:$B$9,$A84,'Entrega'!$E$6:$E$9,"Víctor")+SUMIFS('Entrega'!$I$6:$I$9,'Entrega'!$B$6:$B$9,$A84,'Entrega'!$E$6:$E$9,"Ambos")+SUMIFS('Defensa'!$I$6:$I$10,'Defensa'!$B$6:$B$10,$A84,'Defensa'!$E$6:$E$10,"Víctor")+SUMIFS('Defensa'!$I$6:$I$10,'Defensa'!$B$6:$B$10,$A84,'Defensa'!$E$6:$E$10,"Ambos")</f>
        <v/>
      </c>
      <c r="E84" s="21">
        <f>SUMIFS('S1'!$I$6:$I$32,'S1'!$B$6:$B$32,$A84,'S1'!$E$6:$E$32,"Diego")+SUMIFS('S1'!$I$6:$I$32,'S1'!$B$6:$B$32,$A84,'S1'!$E$6:$E$32,"Ambos")+SUMIFS('S2'!$I$6:$I$23,'S2'!$B$6:$B$23,$A84,'S2'!$E$6:$E$23,"Diego")+SUMIFS('S2'!$I$6:$I$23,'S2'!$B$6:$B$23,$A84,'S2'!$E$6:$E$23,"Ambos")+SUMIFS('S3'!$I$6:$I$24,'S3'!$B$6:$B$24,$A84,'S3'!$E$6:$E$24,"Diego")+SUMIFS('S3'!$I$6:$I$24,'S3'!$B$6:$B$24,$A84,'S3'!$E$6:$E$24,"Ambos")+SUMIFS('S4'!$I$6:$I$22,'S4'!$B$6:$B$22,$A84,'S4'!$E$6:$E$22,"Diego")+SUMIFS('S4'!$I$6:$I$22,'S4'!$B$6:$B$22,$A84,'S4'!$E$6:$E$22,"Ambos")+SUMIFS('S5'!$I$6:$I$20,'S5'!$B$6:$B$20,$A84,'S5'!$E$6:$E$20,"Diego")+SUMIFS('S5'!$I$6:$I$20,'S5'!$B$6:$B$20,$A84,'S5'!$E$6:$E$20,"Ambos")+SUMIFS('S6'!$I$6:$I$17,'S6'!$B$6:$B$17,$A84,'S6'!$E$6:$E$17,"Diego")+SUMIFS('S6'!$I$6:$I$17,'S6'!$B$6:$B$17,$A84,'S6'!$E$6:$E$17,"Ambos")+SUMIFS('S7'!$I$6:$I$19,'S7'!$B$6:$B$19,$A84,'S7'!$E$6:$E$19,"Diego")+SUMIFS('S7'!$I$6:$I$19,'S7'!$B$6:$B$19,$A84,'S7'!$E$6:$E$19,"Ambos")+SUMIFS('S8'!$I$6:$I$23,'S8'!$B$6:$B$23,$A84,'S8'!$E$6:$E$23,"Diego")+SUMIFS('S8'!$I$6:$I$23,'S8'!$B$6:$B$23,$A84,'S8'!$E$6:$E$23,"Ambos")+SUMIFS('S9'!$I$6:$I$15,'S9'!$B$6:$B$15,$A84,'S9'!$E$6:$E$15,"Diego")+SUMIFS('S9'!$I$6:$I$15,'S9'!$B$6:$B$15,$A84,'S9'!$E$6:$E$15,"Ambos")+SUMIFS('S10'!$I$6:$I$13,'S10'!$B$6:$B$13,$A84,'S10'!$E$6:$E$13,"Diego")+SUMIFS('S10'!$I$6:$I$13,'S10'!$B$6:$B$13,$A84,'S10'!$E$6:$E$13,"Ambos")+SUMIFS('Holgura'!$I$6:$I$11,'Holgura'!$B$6:$B$11,$A84,'Holgura'!$E$6:$E$11,"Diego")+SUMIFS('Holgura'!$I$6:$I$11,'Holgura'!$B$6:$B$11,$A84,'Holgura'!$E$6:$E$11,"Ambos")+SUMIFS('Entrega'!$I$6:$I$9,'Entrega'!$B$6:$B$9,$A84,'Entrega'!$E$6:$E$9,"Diego")+SUMIFS('Entrega'!$I$6:$I$9,'Entrega'!$B$6:$B$9,$A84,'Entrega'!$E$6:$E$9,"Ambos")+SUMIFS('Defensa'!$I$6:$I$10,'Defensa'!$B$6:$B$10,$A84,'Defensa'!$E$6:$E$10,"Diego")+SUMIFS('Defensa'!$I$6:$I$10,'Defensa'!$B$6:$B$10,$A84,'Defensa'!$E$6:$E$10,"Ambos")</f>
        <v/>
      </c>
      <c r="F84" s="21">
        <f>COUNTIFS('S1'!$B$6:$B$32,$A84,'S1'!$E$6:$E$32,"Víctor")+COUNTIFS('S1'!$B$6:$B$32,$A84,'S1'!$E$6:$E$32,"Ambos")+COUNTIFS('S2'!$B$6:$B$23,$A84,'S2'!$E$6:$E$23,"Víctor")+COUNTIFS('S2'!$B$6:$B$23,$A84,'S2'!$E$6:$E$23,"Ambos")+COUNTIFS('S3'!$B$6:$B$24,$A84,'S3'!$E$6:$E$24,"Víctor")+COUNTIFS('S3'!$B$6:$B$24,$A84,'S3'!$E$6:$E$24,"Ambos")+COUNTIFS('S4'!$B$6:$B$22,$A84,'S4'!$E$6:$E$22,"Víctor")+COUNTIFS('S4'!$B$6:$B$22,$A84,'S4'!$E$6:$E$22,"Ambos")+COUNTIFS('S5'!$B$6:$B$20,$A84,'S5'!$E$6:$E$20,"Víctor")+COUNTIFS('S5'!$B$6:$B$20,$A84,'S5'!$E$6:$E$20,"Ambos")+COUNTIFS('S6'!$B$6:$B$17,$A84,'S6'!$E$6:$E$17,"Víctor")+COUNTIFS('S6'!$B$6:$B$17,$A84,'S6'!$E$6:$E$17,"Ambos")+COUNTIFS('S7'!$B$6:$B$19,$A84,'S7'!$E$6:$E$19,"Víctor")+COUNTIFS('S7'!$B$6:$B$19,$A84,'S7'!$E$6:$E$19,"Ambos")+COUNTIFS('S8'!$B$6:$B$23,$A84,'S8'!$E$6:$E$23,"Víctor")+COUNTIFS('S8'!$B$6:$B$23,$A84,'S8'!$E$6:$E$23,"Ambos")+COUNTIFS('S9'!$B$6:$B$15,$A84,'S9'!$E$6:$E$15,"Víctor")+COUNTIFS('S9'!$B$6:$B$15,$A84,'S9'!$E$6:$E$15,"Ambos")+COUNTIFS('S10'!$B$6:$B$13,$A84,'S10'!$E$6:$E$13,"Víctor")+COUNTIFS('S10'!$B$6:$B$13,$A84,'S10'!$E$6:$E$13,"Ambos")+COUNTIFS('Holgura'!$B$6:$B$11,$A84,'Holgura'!$E$6:$E$11,"Víctor")+COUNTIFS('Holgura'!$B$6:$B$11,$A84,'Holgura'!$E$6:$E$11,"Ambos")+COUNTIFS('Entrega'!$B$6:$B$9,$A84,'Entrega'!$E$6:$E$9,"Víctor")+COUNTIFS('Entrega'!$B$6:$B$9,$A84,'Entrega'!$E$6:$E$9,"Ambos")+COUNTIFS('Defensa'!$B$6:$B$10,$A84,'Defensa'!$E$6:$E$10,"Víctor")+COUNTIFS('Defensa'!$B$6:$B$10,$A84,'Defensa'!$E$6:$E$10,"Ambos")</f>
        <v/>
      </c>
      <c r="G84" s="21">
        <f>COUNTIFS('S1'!$B$6:$B$32,$A84,'S1'!$E$6:$E$32,"Diego")+COUNTIFS('S1'!$B$6:$B$32,$A84,'S1'!$E$6:$E$32,"Ambos")+COUNTIFS('S2'!$B$6:$B$23,$A84,'S2'!$E$6:$E$23,"Diego")+COUNTIFS('S2'!$B$6:$B$23,$A84,'S2'!$E$6:$E$23,"Ambos")+COUNTIFS('S3'!$B$6:$B$24,$A84,'S3'!$E$6:$E$24,"Diego")+COUNTIFS('S3'!$B$6:$B$24,$A84,'S3'!$E$6:$E$24,"Ambos")+COUNTIFS('S4'!$B$6:$B$22,$A84,'S4'!$E$6:$E$22,"Diego")+COUNTIFS('S4'!$B$6:$B$22,$A84,'S4'!$E$6:$E$22,"Ambos")+COUNTIFS('S5'!$B$6:$B$20,$A84,'S5'!$E$6:$E$20,"Diego")+COUNTIFS('S5'!$B$6:$B$20,$A84,'S5'!$E$6:$E$20,"Ambos")+COUNTIFS('S6'!$B$6:$B$17,$A84,'S6'!$E$6:$E$17,"Diego")+COUNTIFS('S6'!$B$6:$B$17,$A84,'S6'!$E$6:$E$17,"Ambos")+COUNTIFS('S7'!$B$6:$B$19,$A84,'S7'!$E$6:$E$19,"Diego")+COUNTIFS('S7'!$B$6:$B$19,$A84,'S7'!$E$6:$E$19,"Ambos")+COUNTIFS('S8'!$B$6:$B$23,$A84,'S8'!$E$6:$E$23,"Diego")+COUNTIFS('S8'!$B$6:$B$23,$A84,'S8'!$E$6:$E$23,"Ambos")+COUNTIFS('S9'!$B$6:$B$15,$A84,'S9'!$E$6:$E$15,"Diego")+COUNTIFS('S9'!$B$6:$B$15,$A84,'S9'!$E$6:$E$15,"Ambos")+COUNTIFS('S10'!$B$6:$B$13,$A84,'S10'!$E$6:$E$13,"Diego")+COUNTIFS('S10'!$B$6:$B$13,$A84,'S10'!$E$6:$E$13,"Ambos")+COUNTIFS('Holgura'!$B$6:$B$11,$A84,'Holgura'!$E$6:$E$11,"Diego")+COUNTIFS('Holgura'!$B$6:$B$11,$A84,'Holgura'!$E$6:$E$11,"Ambos")+COUNTIFS('Entrega'!$B$6:$B$9,$A84,'Entrega'!$E$6:$E$9,"Diego")+COUNTIFS('Entrega'!$B$6:$B$9,$A84,'Entrega'!$E$6:$E$9,"Ambos")+COUNTIFS('Defensa'!$B$6:$B$10,$A84,'Defensa'!$E$6:$E$10,"Diego")+COUNTIFS('Defensa'!$B$6:$B$10,$A84,'Defensa'!$E$6:$E$10,"Ambos")</f>
        <v/>
      </c>
    </row>
    <row r="85">
      <c r="A85" s="25" t="n">
        <v>46387</v>
      </c>
      <c r="B85" s="26">
        <f>A85</f>
        <v/>
      </c>
      <c r="C85" s="21">
        <f>IF(WEEKDAY(A85,2)&gt;5,4,2)</f>
        <v/>
      </c>
      <c r="D85" s="21">
        <f>SUMIFS('S1'!$I$6:$I$32,'S1'!$B$6:$B$32,$A85,'S1'!$E$6:$E$32,"Víctor")+SUMIFS('S1'!$I$6:$I$32,'S1'!$B$6:$B$32,$A85,'S1'!$E$6:$E$32,"Ambos")+SUMIFS('S2'!$I$6:$I$23,'S2'!$B$6:$B$23,$A85,'S2'!$E$6:$E$23,"Víctor")+SUMIFS('S2'!$I$6:$I$23,'S2'!$B$6:$B$23,$A85,'S2'!$E$6:$E$23,"Ambos")+SUMIFS('S3'!$I$6:$I$24,'S3'!$B$6:$B$24,$A85,'S3'!$E$6:$E$24,"Víctor")+SUMIFS('S3'!$I$6:$I$24,'S3'!$B$6:$B$24,$A85,'S3'!$E$6:$E$24,"Ambos")+SUMIFS('S4'!$I$6:$I$22,'S4'!$B$6:$B$22,$A85,'S4'!$E$6:$E$22,"Víctor")+SUMIFS('S4'!$I$6:$I$22,'S4'!$B$6:$B$22,$A85,'S4'!$E$6:$E$22,"Ambos")+SUMIFS('S5'!$I$6:$I$20,'S5'!$B$6:$B$20,$A85,'S5'!$E$6:$E$20,"Víctor")+SUMIFS('S5'!$I$6:$I$20,'S5'!$B$6:$B$20,$A85,'S5'!$E$6:$E$20,"Ambos")+SUMIFS('S6'!$I$6:$I$17,'S6'!$B$6:$B$17,$A85,'S6'!$E$6:$E$17,"Víctor")+SUMIFS('S6'!$I$6:$I$17,'S6'!$B$6:$B$17,$A85,'S6'!$E$6:$E$17,"Ambos")+SUMIFS('S7'!$I$6:$I$19,'S7'!$B$6:$B$19,$A85,'S7'!$E$6:$E$19,"Víctor")+SUMIFS('S7'!$I$6:$I$19,'S7'!$B$6:$B$19,$A85,'S7'!$E$6:$E$19,"Ambos")+SUMIFS('S8'!$I$6:$I$23,'S8'!$B$6:$B$23,$A85,'S8'!$E$6:$E$23,"Víctor")+SUMIFS('S8'!$I$6:$I$23,'S8'!$B$6:$B$23,$A85,'S8'!$E$6:$E$23,"Ambos")+SUMIFS('S9'!$I$6:$I$15,'S9'!$B$6:$B$15,$A85,'S9'!$E$6:$E$15,"Víctor")+SUMIFS('S9'!$I$6:$I$15,'S9'!$B$6:$B$15,$A85,'S9'!$E$6:$E$15,"Ambos")+SUMIFS('S10'!$I$6:$I$13,'S10'!$B$6:$B$13,$A85,'S10'!$E$6:$E$13,"Víctor")+SUMIFS('S10'!$I$6:$I$13,'S10'!$B$6:$B$13,$A85,'S10'!$E$6:$E$13,"Ambos")+SUMIFS('Holgura'!$I$6:$I$11,'Holgura'!$B$6:$B$11,$A85,'Holgura'!$E$6:$E$11,"Víctor")+SUMIFS('Holgura'!$I$6:$I$11,'Holgura'!$B$6:$B$11,$A85,'Holgura'!$E$6:$E$11,"Ambos")+SUMIFS('Entrega'!$I$6:$I$9,'Entrega'!$B$6:$B$9,$A85,'Entrega'!$E$6:$E$9,"Víctor")+SUMIFS('Entrega'!$I$6:$I$9,'Entrega'!$B$6:$B$9,$A85,'Entrega'!$E$6:$E$9,"Ambos")+SUMIFS('Defensa'!$I$6:$I$10,'Defensa'!$B$6:$B$10,$A85,'Defensa'!$E$6:$E$10,"Víctor")+SUMIFS('Defensa'!$I$6:$I$10,'Defensa'!$B$6:$B$10,$A85,'Defensa'!$E$6:$E$10,"Ambos")</f>
        <v/>
      </c>
      <c r="E85" s="21">
        <f>SUMIFS('S1'!$I$6:$I$32,'S1'!$B$6:$B$32,$A85,'S1'!$E$6:$E$32,"Diego")+SUMIFS('S1'!$I$6:$I$32,'S1'!$B$6:$B$32,$A85,'S1'!$E$6:$E$32,"Ambos")+SUMIFS('S2'!$I$6:$I$23,'S2'!$B$6:$B$23,$A85,'S2'!$E$6:$E$23,"Diego")+SUMIFS('S2'!$I$6:$I$23,'S2'!$B$6:$B$23,$A85,'S2'!$E$6:$E$23,"Ambos")+SUMIFS('S3'!$I$6:$I$24,'S3'!$B$6:$B$24,$A85,'S3'!$E$6:$E$24,"Diego")+SUMIFS('S3'!$I$6:$I$24,'S3'!$B$6:$B$24,$A85,'S3'!$E$6:$E$24,"Ambos")+SUMIFS('S4'!$I$6:$I$22,'S4'!$B$6:$B$22,$A85,'S4'!$E$6:$E$22,"Diego")+SUMIFS('S4'!$I$6:$I$22,'S4'!$B$6:$B$22,$A85,'S4'!$E$6:$E$22,"Ambos")+SUMIFS('S5'!$I$6:$I$20,'S5'!$B$6:$B$20,$A85,'S5'!$E$6:$E$20,"Diego")+SUMIFS('S5'!$I$6:$I$20,'S5'!$B$6:$B$20,$A85,'S5'!$E$6:$E$20,"Ambos")+SUMIFS('S6'!$I$6:$I$17,'S6'!$B$6:$B$17,$A85,'S6'!$E$6:$E$17,"Diego")+SUMIFS('S6'!$I$6:$I$17,'S6'!$B$6:$B$17,$A85,'S6'!$E$6:$E$17,"Ambos")+SUMIFS('S7'!$I$6:$I$19,'S7'!$B$6:$B$19,$A85,'S7'!$E$6:$E$19,"Diego")+SUMIFS('S7'!$I$6:$I$19,'S7'!$B$6:$B$19,$A85,'S7'!$E$6:$E$19,"Ambos")+SUMIFS('S8'!$I$6:$I$23,'S8'!$B$6:$B$23,$A85,'S8'!$E$6:$E$23,"Diego")+SUMIFS('S8'!$I$6:$I$23,'S8'!$B$6:$B$23,$A85,'S8'!$E$6:$E$23,"Ambos")+SUMIFS('S9'!$I$6:$I$15,'S9'!$B$6:$B$15,$A85,'S9'!$E$6:$E$15,"Diego")+SUMIFS('S9'!$I$6:$I$15,'S9'!$B$6:$B$15,$A85,'S9'!$E$6:$E$15,"Ambos")+SUMIFS('S10'!$I$6:$I$13,'S10'!$B$6:$B$13,$A85,'S10'!$E$6:$E$13,"Diego")+SUMIFS('S10'!$I$6:$I$13,'S10'!$B$6:$B$13,$A85,'S10'!$E$6:$E$13,"Ambos")+SUMIFS('Holgura'!$I$6:$I$11,'Holgura'!$B$6:$B$11,$A85,'Holgura'!$E$6:$E$11,"Diego")+SUMIFS('Holgura'!$I$6:$I$11,'Holgura'!$B$6:$B$11,$A85,'Holgura'!$E$6:$E$11,"Ambos")+SUMIFS('Entrega'!$I$6:$I$9,'Entrega'!$B$6:$B$9,$A85,'Entrega'!$E$6:$E$9,"Diego")+SUMIFS('Entrega'!$I$6:$I$9,'Entrega'!$B$6:$B$9,$A85,'Entrega'!$E$6:$E$9,"Ambos")+SUMIFS('Defensa'!$I$6:$I$10,'Defensa'!$B$6:$B$10,$A85,'Defensa'!$E$6:$E$10,"Diego")+SUMIFS('Defensa'!$I$6:$I$10,'Defensa'!$B$6:$B$10,$A85,'Defensa'!$E$6:$E$10,"Ambos")</f>
        <v/>
      </c>
      <c r="F85" s="21">
        <f>COUNTIFS('S1'!$B$6:$B$32,$A85,'S1'!$E$6:$E$32,"Víctor")+COUNTIFS('S1'!$B$6:$B$32,$A85,'S1'!$E$6:$E$32,"Ambos")+COUNTIFS('S2'!$B$6:$B$23,$A85,'S2'!$E$6:$E$23,"Víctor")+COUNTIFS('S2'!$B$6:$B$23,$A85,'S2'!$E$6:$E$23,"Ambos")+COUNTIFS('S3'!$B$6:$B$24,$A85,'S3'!$E$6:$E$24,"Víctor")+COUNTIFS('S3'!$B$6:$B$24,$A85,'S3'!$E$6:$E$24,"Ambos")+COUNTIFS('S4'!$B$6:$B$22,$A85,'S4'!$E$6:$E$22,"Víctor")+COUNTIFS('S4'!$B$6:$B$22,$A85,'S4'!$E$6:$E$22,"Ambos")+COUNTIFS('S5'!$B$6:$B$20,$A85,'S5'!$E$6:$E$20,"Víctor")+COUNTIFS('S5'!$B$6:$B$20,$A85,'S5'!$E$6:$E$20,"Ambos")+COUNTIFS('S6'!$B$6:$B$17,$A85,'S6'!$E$6:$E$17,"Víctor")+COUNTIFS('S6'!$B$6:$B$17,$A85,'S6'!$E$6:$E$17,"Ambos")+COUNTIFS('S7'!$B$6:$B$19,$A85,'S7'!$E$6:$E$19,"Víctor")+COUNTIFS('S7'!$B$6:$B$19,$A85,'S7'!$E$6:$E$19,"Ambos")+COUNTIFS('S8'!$B$6:$B$23,$A85,'S8'!$E$6:$E$23,"Víctor")+COUNTIFS('S8'!$B$6:$B$23,$A85,'S8'!$E$6:$E$23,"Ambos")+COUNTIFS('S9'!$B$6:$B$15,$A85,'S9'!$E$6:$E$15,"Víctor")+COUNTIFS('S9'!$B$6:$B$15,$A85,'S9'!$E$6:$E$15,"Ambos")+COUNTIFS('S10'!$B$6:$B$13,$A85,'S10'!$E$6:$E$13,"Víctor")+COUNTIFS('S10'!$B$6:$B$13,$A85,'S10'!$E$6:$E$13,"Ambos")+COUNTIFS('Holgura'!$B$6:$B$11,$A85,'Holgura'!$E$6:$E$11,"Víctor")+COUNTIFS('Holgura'!$B$6:$B$11,$A85,'Holgura'!$E$6:$E$11,"Ambos")+COUNTIFS('Entrega'!$B$6:$B$9,$A85,'Entrega'!$E$6:$E$9,"Víctor")+COUNTIFS('Entrega'!$B$6:$B$9,$A85,'Entrega'!$E$6:$E$9,"Ambos")+COUNTIFS('Defensa'!$B$6:$B$10,$A85,'Defensa'!$E$6:$E$10,"Víctor")+COUNTIFS('Defensa'!$B$6:$B$10,$A85,'Defensa'!$E$6:$E$10,"Ambos")</f>
        <v/>
      </c>
      <c r="G85" s="21">
        <f>COUNTIFS('S1'!$B$6:$B$32,$A85,'S1'!$E$6:$E$32,"Diego")+COUNTIFS('S1'!$B$6:$B$32,$A85,'S1'!$E$6:$E$32,"Ambos")+COUNTIFS('S2'!$B$6:$B$23,$A85,'S2'!$E$6:$E$23,"Diego")+COUNTIFS('S2'!$B$6:$B$23,$A85,'S2'!$E$6:$E$23,"Ambos")+COUNTIFS('S3'!$B$6:$B$24,$A85,'S3'!$E$6:$E$24,"Diego")+COUNTIFS('S3'!$B$6:$B$24,$A85,'S3'!$E$6:$E$24,"Ambos")+COUNTIFS('S4'!$B$6:$B$22,$A85,'S4'!$E$6:$E$22,"Diego")+COUNTIFS('S4'!$B$6:$B$22,$A85,'S4'!$E$6:$E$22,"Ambos")+COUNTIFS('S5'!$B$6:$B$20,$A85,'S5'!$E$6:$E$20,"Diego")+COUNTIFS('S5'!$B$6:$B$20,$A85,'S5'!$E$6:$E$20,"Ambos")+COUNTIFS('S6'!$B$6:$B$17,$A85,'S6'!$E$6:$E$17,"Diego")+COUNTIFS('S6'!$B$6:$B$17,$A85,'S6'!$E$6:$E$17,"Ambos")+COUNTIFS('S7'!$B$6:$B$19,$A85,'S7'!$E$6:$E$19,"Diego")+COUNTIFS('S7'!$B$6:$B$19,$A85,'S7'!$E$6:$E$19,"Ambos")+COUNTIFS('S8'!$B$6:$B$23,$A85,'S8'!$E$6:$E$23,"Diego")+COUNTIFS('S8'!$B$6:$B$23,$A85,'S8'!$E$6:$E$23,"Ambos")+COUNTIFS('S9'!$B$6:$B$15,$A85,'S9'!$E$6:$E$15,"Diego")+COUNTIFS('S9'!$B$6:$B$15,$A85,'S9'!$E$6:$E$15,"Ambos")+COUNTIFS('S10'!$B$6:$B$13,$A85,'S10'!$E$6:$E$13,"Diego")+COUNTIFS('S10'!$B$6:$B$13,$A85,'S10'!$E$6:$E$13,"Ambos")+COUNTIFS('Holgura'!$B$6:$B$11,$A85,'Holgura'!$E$6:$E$11,"Diego")+COUNTIFS('Holgura'!$B$6:$B$11,$A85,'Holgura'!$E$6:$E$11,"Ambos")+COUNTIFS('Entrega'!$B$6:$B$9,$A85,'Entrega'!$E$6:$E$9,"Diego")+COUNTIFS('Entrega'!$B$6:$B$9,$A85,'Entrega'!$E$6:$E$9,"Ambos")+COUNTIFS('Defensa'!$B$6:$B$10,$A85,'Defensa'!$E$6:$E$10,"Diego")+COUNTIFS('Defensa'!$B$6:$B$10,$A85,'Defensa'!$E$6:$E$10,"Ambos")</f>
        <v/>
      </c>
    </row>
    <row r="86">
      <c r="A86" s="25" t="n">
        <v>46388</v>
      </c>
      <c r="B86" s="26">
        <f>A86</f>
        <v/>
      </c>
      <c r="C86" s="21">
        <f>IF(WEEKDAY(A86,2)&gt;5,4,2)</f>
        <v/>
      </c>
      <c r="D86" s="21">
        <f>SUMIFS('S1'!$I$6:$I$32,'S1'!$B$6:$B$32,$A86,'S1'!$E$6:$E$32,"Víctor")+SUMIFS('S1'!$I$6:$I$32,'S1'!$B$6:$B$32,$A86,'S1'!$E$6:$E$32,"Ambos")+SUMIFS('S2'!$I$6:$I$23,'S2'!$B$6:$B$23,$A86,'S2'!$E$6:$E$23,"Víctor")+SUMIFS('S2'!$I$6:$I$23,'S2'!$B$6:$B$23,$A86,'S2'!$E$6:$E$23,"Ambos")+SUMIFS('S3'!$I$6:$I$24,'S3'!$B$6:$B$24,$A86,'S3'!$E$6:$E$24,"Víctor")+SUMIFS('S3'!$I$6:$I$24,'S3'!$B$6:$B$24,$A86,'S3'!$E$6:$E$24,"Ambos")+SUMIFS('S4'!$I$6:$I$22,'S4'!$B$6:$B$22,$A86,'S4'!$E$6:$E$22,"Víctor")+SUMIFS('S4'!$I$6:$I$22,'S4'!$B$6:$B$22,$A86,'S4'!$E$6:$E$22,"Ambos")+SUMIFS('S5'!$I$6:$I$20,'S5'!$B$6:$B$20,$A86,'S5'!$E$6:$E$20,"Víctor")+SUMIFS('S5'!$I$6:$I$20,'S5'!$B$6:$B$20,$A86,'S5'!$E$6:$E$20,"Ambos")+SUMIFS('S6'!$I$6:$I$17,'S6'!$B$6:$B$17,$A86,'S6'!$E$6:$E$17,"Víctor")+SUMIFS('S6'!$I$6:$I$17,'S6'!$B$6:$B$17,$A86,'S6'!$E$6:$E$17,"Ambos")+SUMIFS('S7'!$I$6:$I$19,'S7'!$B$6:$B$19,$A86,'S7'!$E$6:$E$19,"Víctor")+SUMIFS('S7'!$I$6:$I$19,'S7'!$B$6:$B$19,$A86,'S7'!$E$6:$E$19,"Ambos")+SUMIFS('S8'!$I$6:$I$23,'S8'!$B$6:$B$23,$A86,'S8'!$E$6:$E$23,"Víctor")+SUMIFS('S8'!$I$6:$I$23,'S8'!$B$6:$B$23,$A86,'S8'!$E$6:$E$23,"Ambos")+SUMIFS('S9'!$I$6:$I$15,'S9'!$B$6:$B$15,$A86,'S9'!$E$6:$E$15,"Víctor")+SUMIFS('S9'!$I$6:$I$15,'S9'!$B$6:$B$15,$A86,'S9'!$E$6:$E$15,"Ambos")+SUMIFS('S10'!$I$6:$I$13,'S10'!$B$6:$B$13,$A86,'S10'!$E$6:$E$13,"Víctor")+SUMIFS('S10'!$I$6:$I$13,'S10'!$B$6:$B$13,$A86,'S10'!$E$6:$E$13,"Ambos")+SUMIFS('Holgura'!$I$6:$I$11,'Holgura'!$B$6:$B$11,$A86,'Holgura'!$E$6:$E$11,"Víctor")+SUMIFS('Holgura'!$I$6:$I$11,'Holgura'!$B$6:$B$11,$A86,'Holgura'!$E$6:$E$11,"Ambos")+SUMIFS('Entrega'!$I$6:$I$9,'Entrega'!$B$6:$B$9,$A86,'Entrega'!$E$6:$E$9,"Víctor")+SUMIFS('Entrega'!$I$6:$I$9,'Entrega'!$B$6:$B$9,$A86,'Entrega'!$E$6:$E$9,"Ambos")+SUMIFS('Defensa'!$I$6:$I$10,'Defensa'!$B$6:$B$10,$A86,'Defensa'!$E$6:$E$10,"Víctor")+SUMIFS('Defensa'!$I$6:$I$10,'Defensa'!$B$6:$B$10,$A86,'Defensa'!$E$6:$E$10,"Ambos")</f>
        <v/>
      </c>
      <c r="E86" s="21">
        <f>SUMIFS('S1'!$I$6:$I$32,'S1'!$B$6:$B$32,$A86,'S1'!$E$6:$E$32,"Diego")+SUMIFS('S1'!$I$6:$I$32,'S1'!$B$6:$B$32,$A86,'S1'!$E$6:$E$32,"Ambos")+SUMIFS('S2'!$I$6:$I$23,'S2'!$B$6:$B$23,$A86,'S2'!$E$6:$E$23,"Diego")+SUMIFS('S2'!$I$6:$I$23,'S2'!$B$6:$B$23,$A86,'S2'!$E$6:$E$23,"Ambos")+SUMIFS('S3'!$I$6:$I$24,'S3'!$B$6:$B$24,$A86,'S3'!$E$6:$E$24,"Diego")+SUMIFS('S3'!$I$6:$I$24,'S3'!$B$6:$B$24,$A86,'S3'!$E$6:$E$24,"Ambos")+SUMIFS('S4'!$I$6:$I$22,'S4'!$B$6:$B$22,$A86,'S4'!$E$6:$E$22,"Diego")+SUMIFS('S4'!$I$6:$I$22,'S4'!$B$6:$B$22,$A86,'S4'!$E$6:$E$22,"Ambos")+SUMIFS('S5'!$I$6:$I$20,'S5'!$B$6:$B$20,$A86,'S5'!$E$6:$E$20,"Diego")+SUMIFS('S5'!$I$6:$I$20,'S5'!$B$6:$B$20,$A86,'S5'!$E$6:$E$20,"Ambos")+SUMIFS('S6'!$I$6:$I$17,'S6'!$B$6:$B$17,$A86,'S6'!$E$6:$E$17,"Diego")+SUMIFS('S6'!$I$6:$I$17,'S6'!$B$6:$B$17,$A86,'S6'!$E$6:$E$17,"Ambos")+SUMIFS('S7'!$I$6:$I$19,'S7'!$B$6:$B$19,$A86,'S7'!$E$6:$E$19,"Diego")+SUMIFS('S7'!$I$6:$I$19,'S7'!$B$6:$B$19,$A86,'S7'!$E$6:$E$19,"Ambos")+SUMIFS('S8'!$I$6:$I$23,'S8'!$B$6:$B$23,$A86,'S8'!$E$6:$E$23,"Diego")+SUMIFS('S8'!$I$6:$I$23,'S8'!$B$6:$B$23,$A86,'S8'!$E$6:$E$23,"Ambos")+SUMIFS('S9'!$I$6:$I$15,'S9'!$B$6:$B$15,$A86,'S9'!$E$6:$E$15,"Diego")+SUMIFS('S9'!$I$6:$I$15,'S9'!$B$6:$B$15,$A86,'S9'!$E$6:$E$15,"Ambos")+SUMIFS('S10'!$I$6:$I$13,'S10'!$B$6:$B$13,$A86,'S10'!$E$6:$E$13,"Diego")+SUMIFS('S10'!$I$6:$I$13,'S10'!$B$6:$B$13,$A86,'S10'!$E$6:$E$13,"Ambos")+SUMIFS('Holgura'!$I$6:$I$11,'Holgura'!$B$6:$B$11,$A86,'Holgura'!$E$6:$E$11,"Diego")+SUMIFS('Holgura'!$I$6:$I$11,'Holgura'!$B$6:$B$11,$A86,'Holgura'!$E$6:$E$11,"Ambos")+SUMIFS('Entrega'!$I$6:$I$9,'Entrega'!$B$6:$B$9,$A86,'Entrega'!$E$6:$E$9,"Diego")+SUMIFS('Entrega'!$I$6:$I$9,'Entrega'!$B$6:$B$9,$A86,'Entrega'!$E$6:$E$9,"Ambos")+SUMIFS('Defensa'!$I$6:$I$10,'Defensa'!$B$6:$B$10,$A86,'Defensa'!$E$6:$E$10,"Diego")+SUMIFS('Defensa'!$I$6:$I$10,'Defensa'!$B$6:$B$10,$A86,'Defensa'!$E$6:$E$10,"Ambos")</f>
        <v/>
      </c>
      <c r="F86" s="21">
        <f>COUNTIFS('S1'!$B$6:$B$32,$A86,'S1'!$E$6:$E$32,"Víctor")+COUNTIFS('S1'!$B$6:$B$32,$A86,'S1'!$E$6:$E$32,"Ambos")+COUNTIFS('S2'!$B$6:$B$23,$A86,'S2'!$E$6:$E$23,"Víctor")+COUNTIFS('S2'!$B$6:$B$23,$A86,'S2'!$E$6:$E$23,"Ambos")+COUNTIFS('S3'!$B$6:$B$24,$A86,'S3'!$E$6:$E$24,"Víctor")+COUNTIFS('S3'!$B$6:$B$24,$A86,'S3'!$E$6:$E$24,"Ambos")+COUNTIFS('S4'!$B$6:$B$22,$A86,'S4'!$E$6:$E$22,"Víctor")+COUNTIFS('S4'!$B$6:$B$22,$A86,'S4'!$E$6:$E$22,"Ambos")+COUNTIFS('S5'!$B$6:$B$20,$A86,'S5'!$E$6:$E$20,"Víctor")+COUNTIFS('S5'!$B$6:$B$20,$A86,'S5'!$E$6:$E$20,"Ambos")+COUNTIFS('S6'!$B$6:$B$17,$A86,'S6'!$E$6:$E$17,"Víctor")+COUNTIFS('S6'!$B$6:$B$17,$A86,'S6'!$E$6:$E$17,"Ambos")+COUNTIFS('S7'!$B$6:$B$19,$A86,'S7'!$E$6:$E$19,"Víctor")+COUNTIFS('S7'!$B$6:$B$19,$A86,'S7'!$E$6:$E$19,"Ambos")+COUNTIFS('S8'!$B$6:$B$23,$A86,'S8'!$E$6:$E$23,"Víctor")+COUNTIFS('S8'!$B$6:$B$23,$A86,'S8'!$E$6:$E$23,"Ambos")+COUNTIFS('S9'!$B$6:$B$15,$A86,'S9'!$E$6:$E$15,"Víctor")+COUNTIFS('S9'!$B$6:$B$15,$A86,'S9'!$E$6:$E$15,"Ambos")+COUNTIFS('S10'!$B$6:$B$13,$A86,'S10'!$E$6:$E$13,"Víctor")+COUNTIFS('S10'!$B$6:$B$13,$A86,'S10'!$E$6:$E$13,"Ambos")+COUNTIFS('Holgura'!$B$6:$B$11,$A86,'Holgura'!$E$6:$E$11,"Víctor")+COUNTIFS('Holgura'!$B$6:$B$11,$A86,'Holgura'!$E$6:$E$11,"Ambos")+COUNTIFS('Entrega'!$B$6:$B$9,$A86,'Entrega'!$E$6:$E$9,"Víctor")+COUNTIFS('Entrega'!$B$6:$B$9,$A86,'Entrega'!$E$6:$E$9,"Ambos")+COUNTIFS('Defensa'!$B$6:$B$10,$A86,'Defensa'!$E$6:$E$10,"Víctor")+COUNTIFS('Defensa'!$B$6:$B$10,$A86,'Defensa'!$E$6:$E$10,"Ambos")</f>
        <v/>
      </c>
      <c r="G86" s="21">
        <f>COUNTIFS('S1'!$B$6:$B$32,$A86,'S1'!$E$6:$E$32,"Diego")+COUNTIFS('S1'!$B$6:$B$32,$A86,'S1'!$E$6:$E$32,"Ambos")+COUNTIFS('S2'!$B$6:$B$23,$A86,'S2'!$E$6:$E$23,"Diego")+COUNTIFS('S2'!$B$6:$B$23,$A86,'S2'!$E$6:$E$23,"Ambos")+COUNTIFS('S3'!$B$6:$B$24,$A86,'S3'!$E$6:$E$24,"Diego")+COUNTIFS('S3'!$B$6:$B$24,$A86,'S3'!$E$6:$E$24,"Ambos")+COUNTIFS('S4'!$B$6:$B$22,$A86,'S4'!$E$6:$E$22,"Diego")+COUNTIFS('S4'!$B$6:$B$22,$A86,'S4'!$E$6:$E$22,"Ambos")+COUNTIFS('S5'!$B$6:$B$20,$A86,'S5'!$E$6:$E$20,"Diego")+COUNTIFS('S5'!$B$6:$B$20,$A86,'S5'!$E$6:$E$20,"Ambos")+COUNTIFS('S6'!$B$6:$B$17,$A86,'S6'!$E$6:$E$17,"Diego")+COUNTIFS('S6'!$B$6:$B$17,$A86,'S6'!$E$6:$E$17,"Ambos")+COUNTIFS('S7'!$B$6:$B$19,$A86,'S7'!$E$6:$E$19,"Diego")+COUNTIFS('S7'!$B$6:$B$19,$A86,'S7'!$E$6:$E$19,"Ambos")+COUNTIFS('S8'!$B$6:$B$23,$A86,'S8'!$E$6:$E$23,"Diego")+COUNTIFS('S8'!$B$6:$B$23,$A86,'S8'!$E$6:$E$23,"Ambos")+COUNTIFS('S9'!$B$6:$B$15,$A86,'S9'!$E$6:$E$15,"Diego")+COUNTIFS('S9'!$B$6:$B$15,$A86,'S9'!$E$6:$E$15,"Ambos")+COUNTIFS('S10'!$B$6:$B$13,$A86,'S10'!$E$6:$E$13,"Diego")+COUNTIFS('S10'!$B$6:$B$13,$A86,'S10'!$E$6:$E$13,"Ambos")+COUNTIFS('Holgura'!$B$6:$B$11,$A86,'Holgura'!$E$6:$E$11,"Diego")+COUNTIFS('Holgura'!$B$6:$B$11,$A86,'Holgura'!$E$6:$E$11,"Ambos")+COUNTIFS('Entrega'!$B$6:$B$9,$A86,'Entrega'!$E$6:$E$9,"Diego")+COUNTIFS('Entrega'!$B$6:$B$9,$A86,'Entrega'!$E$6:$E$9,"Ambos")+COUNTIFS('Defensa'!$B$6:$B$10,$A86,'Defensa'!$E$6:$E$10,"Diego")+COUNTIFS('Defensa'!$B$6:$B$10,$A86,'Defensa'!$E$6:$E$10,"Ambos")</f>
        <v/>
      </c>
    </row>
    <row r="87">
      <c r="A87" s="25" t="n">
        <v>46389</v>
      </c>
      <c r="B87" s="26">
        <f>A87</f>
        <v/>
      </c>
      <c r="C87" s="21">
        <f>IF(WEEKDAY(A87,2)&gt;5,4,2)</f>
        <v/>
      </c>
      <c r="D87" s="21">
        <f>SUMIFS('S1'!$I$6:$I$32,'S1'!$B$6:$B$32,$A87,'S1'!$E$6:$E$32,"Víctor")+SUMIFS('S1'!$I$6:$I$32,'S1'!$B$6:$B$32,$A87,'S1'!$E$6:$E$32,"Ambos")+SUMIFS('S2'!$I$6:$I$23,'S2'!$B$6:$B$23,$A87,'S2'!$E$6:$E$23,"Víctor")+SUMIFS('S2'!$I$6:$I$23,'S2'!$B$6:$B$23,$A87,'S2'!$E$6:$E$23,"Ambos")+SUMIFS('S3'!$I$6:$I$24,'S3'!$B$6:$B$24,$A87,'S3'!$E$6:$E$24,"Víctor")+SUMIFS('S3'!$I$6:$I$24,'S3'!$B$6:$B$24,$A87,'S3'!$E$6:$E$24,"Ambos")+SUMIFS('S4'!$I$6:$I$22,'S4'!$B$6:$B$22,$A87,'S4'!$E$6:$E$22,"Víctor")+SUMIFS('S4'!$I$6:$I$22,'S4'!$B$6:$B$22,$A87,'S4'!$E$6:$E$22,"Ambos")+SUMIFS('S5'!$I$6:$I$20,'S5'!$B$6:$B$20,$A87,'S5'!$E$6:$E$20,"Víctor")+SUMIFS('S5'!$I$6:$I$20,'S5'!$B$6:$B$20,$A87,'S5'!$E$6:$E$20,"Ambos")+SUMIFS('S6'!$I$6:$I$17,'S6'!$B$6:$B$17,$A87,'S6'!$E$6:$E$17,"Víctor")+SUMIFS('S6'!$I$6:$I$17,'S6'!$B$6:$B$17,$A87,'S6'!$E$6:$E$17,"Ambos")+SUMIFS('S7'!$I$6:$I$19,'S7'!$B$6:$B$19,$A87,'S7'!$E$6:$E$19,"Víctor")+SUMIFS('S7'!$I$6:$I$19,'S7'!$B$6:$B$19,$A87,'S7'!$E$6:$E$19,"Ambos")+SUMIFS('S8'!$I$6:$I$23,'S8'!$B$6:$B$23,$A87,'S8'!$E$6:$E$23,"Víctor")+SUMIFS('S8'!$I$6:$I$23,'S8'!$B$6:$B$23,$A87,'S8'!$E$6:$E$23,"Ambos")+SUMIFS('S9'!$I$6:$I$15,'S9'!$B$6:$B$15,$A87,'S9'!$E$6:$E$15,"Víctor")+SUMIFS('S9'!$I$6:$I$15,'S9'!$B$6:$B$15,$A87,'S9'!$E$6:$E$15,"Ambos")+SUMIFS('S10'!$I$6:$I$13,'S10'!$B$6:$B$13,$A87,'S10'!$E$6:$E$13,"Víctor")+SUMIFS('S10'!$I$6:$I$13,'S10'!$B$6:$B$13,$A87,'S10'!$E$6:$E$13,"Ambos")+SUMIFS('Holgura'!$I$6:$I$11,'Holgura'!$B$6:$B$11,$A87,'Holgura'!$E$6:$E$11,"Víctor")+SUMIFS('Holgura'!$I$6:$I$11,'Holgura'!$B$6:$B$11,$A87,'Holgura'!$E$6:$E$11,"Ambos")+SUMIFS('Entrega'!$I$6:$I$9,'Entrega'!$B$6:$B$9,$A87,'Entrega'!$E$6:$E$9,"Víctor")+SUMIFS('Entrega'!$I$6:$I$9,'Entrega'!$B$6:$B$9,$A87,'Entrega'!$E$6:$E$9,"Ambos")+SUMIFS('Defensa'!$I$6:$I$10,'Defensa'!$B$6:$B$10,$A87,'Defensa'!$E$6:$E$10,"Víctor")+SUMIFS('Defensa'!$I$6:$I$10,'Defensa'!$B$6:$B$10,$A87,'Defensa'!$E$6:$E$10,"Ambos")</f>
        <v/>
      </c>
      <c r="E87" s="21">
        <f>SUMIFS('S1'!$I$6:$I$32,'S1'!$B$6:$B$32,$A87,'S1'!$E$6:$E$32,"Diego")+SUMIFS('S1'!$I$6:$I$32,'S1'!$B$6:$B$32,$A87,'S1'!$E$6:$E$32,"Ambos")+SUMIFS('S2'!$I$6:$I$23,'S2'!$B$6:$B$23,$A87,'S2'!$E$6:$E$23,"Diego")+SUMIFS('S2'!$I$6:$I$23,'S2'!$B$6:$B$23,$A87,'S2'!$E$6:$E$23,"Ambos")+SUMIFS('S3'!$I$6:$I$24,'S3'!$B$6:$B$24,$A87,'S3'!$E$6:$E$24,"Diego")+SUMIFS('S3'!$I$6:$I$24,'S3'!$B$6:$B$24,$A87,'S3'!$E$6:$E$24,"Ambos")+SUMIFS('S4'!$I$6:$I$22,'S4'!$B$6:$B$22,$A87,'S4'!$E$6:$E$22,"Diego")+SUMIFS('S4'!$I$6:$I$22,'S4'!$B$6:$B$22,$A87,'S4'!$E$6:$E$22,"Ambos")+SUMIFS('S5'!$I$6:$I$20,'S5'!$B$6:$B$20,$A87,'S5'!$E$6:$E$20,"Diego")+SUMIFS('S5'!$I$6:$I$20,'S5'!$B$6:$B$20,$A87,'S5'!$E$6:$E$20,"Ambos")+SUMIFS('S6'!$I$6:$I$17,'S6'!$B$6:$B$17,$A87,'S6'!$E$6:$E$17,"Diego")+SUMIFS('S6'!$I$6:$I$17,'S6'!$B$6:$B$17,$A87,'S6'!$E$6:$E$17,"Ambos")+SUMIFS('S7'!$I$6:$I$19,'S7'!$B$6:$B$19,$A87,'S7'!$E$6:$E$19,"Diego")+SUMIFS('S7'!$I$6:$I$19,'S7'!$B$6:$B$19,$A87,'S7'!$E$6:$E$19,"Ambos")+SUMIFS('S8'!$I$6:$I$23,'S8'!$B$6:$B$23,$A87,'S8'!$E$6:$E$23,"Diego")+SUMIFS('S8'!$I$6:$I$23,'S8'!$B$6:$B$23,$A87,'S8'!$E$6:$E$23,"Ambos")+SUMIFS('S9'!$I$6:$I$15,'S9'!$B$6:$B$15,$A87,'S9'!$E$6:$E$15,"Diego")+SUMIFS('S9'!$I$6:$I$15,'S9'!$B$6:$B$15,$A87,'S9'!$E$6:$E$15,"Ambos")+SUMIFS('S10'!$I$6:$I$13,'S10'!$B$6:$B$13,$A87,'S10'!$E$6:$E$13,"Diego")+SUMIFS('S10'!$I$6:$I$13,'S10'!$B$6:$B$13,$A87,'S10'!$E$6:$E$13,"Ambos")+SUMIFS('Holgura'!$I$6:$I$11,'Holgura'!$B$6:$B$11,$A87,'Holgura'!$E$6:$E$11,"Diego")+SUMIFS('Holgura'!$I$6:$I$11,'Holgura'!$B$6:$B$11,$A87,'Holgura'!$E$6:$E$11,"Ambos")+SUMIFS('Entrega'!$I$6:$I$9,'Entrega'!$B$6:$B$9,$A87,'Entrega'!$E$6:$E$9,"Diego")+SUMIFS('Entrega'!$I$6:$I$9,'Entrega'!$B$6:$B$9,$A87,'Entrega'!$E$6:$E$9,"Ambos")+SUMIFS('Defensa'!$I$6:$I$10,'Defensa'!$B$6:$B$10,$A87,'Defensa'!$E$6:$E$10,"Diego")+SUMIFS('Defensa'!$I$6:$I$10,'Defensa'!$B$6:$B$10,$A87,'Defensa'!$E$6:$E$10,"Ambos")</f>
        <v/>
      </c>
      <c r="F87" s="21">
        <f>COUNTIFS('S1'!$B$6:$B$32,$A87,'S1'!$E$6:$E$32,"Víctor")+COUNTIFS('S1'!$B$6:$B$32,$A87,'S1'!$E$6:$E$32,"Ambos")+COUNTIFS('S2'!$B$6:$B$23,$A87,'S2'!$E$6:$E$23,"Víctor")+COUNTIFS('S2'!$B$6:$B$23,$A87,'S2'!$E$6:$E$23,"Ambos")+COUNTIFS('S3'!$B$6:$B$24,$A87,'S3'!$E$6:$E$24,"Víctor")+COUNTIFS('S3'!$B$6:$B$24,$A87,'S3'!$E$6:$E$24,"Ambos")+COUNTIFS('S4'!$B$6:$B$22,$A87,'S4'!$E$6:$E$22,"Víctor")+COUNTIFS('S4'!$B$6:$B$22,$A87,'S4'!$E$6:$E$22,"Ambos")+COUNTIFS('S5'!$B$6:$B$20,$A87,'S5'!$E$6:$E$20,"Víctor")+COUNTIFS('S5'!$B$6:$B$20,$A87,'S5'!$E$6:$E$20,"Ambos")+COUNTIFS('S6'!$B$6:$B$17,$A87,'S6'!$E$6:$E$17,"Víctor")+COUNTIFS('S6'!$B$6:$B$17,$A87,'S6'!$E$6:$E$17,"Ambos")+COUNTIFS('S7'!$B$6:$B$19,$A87,'S7'!$E$6:$E$19,"Víctor")+COUNTIFS('S7'!$B$6:$B$19,$A87,'S7'!$E$6:$E$19,"Ambos")+COUNTIFS('S8'!$B$6:$B$23,$A87,'S8'!$E$6:$E$23,"Víctor")+COUNTIFS('S8'!$B$6:$B$23,$A87,'S8'!$E$6:$E$23,"Ambos")+COUNTIFS('S9'!$B$6:$B$15,$A87,'S9'!$E$6:$E$15,"Víctor")+COUNTIFS('S9'!$B$6:$B$15,$A87,'S9'!$E$6:$E$15,"Ambos")+COUNTIFS('S10'!$B$6:$B$13,$A87,'S10'!$E$6:$E$13,"Víctor")+COUNTIFS('S10'!$B$6:$B$13,$A87,'S10'!$E$6:$E$13,"Ambos")+COUNTIFS('Holgura'!$B$6:$B$11,$A87,'Holgura'!$E$6:$E$11,"Víctor")+COUNTIFS('Holgura'!$B$6:$B$11,$A87,'Holgura'!$E$6:$E$11,"Ambos")+COUNTIFS('Entrega'!$B$6:$B$9,$A87,'Entrega'!$E$6:$E$9,"Víctor")+COUNTIFS('Entrega'!$B$6:$B$9,$A87,'Entrega'!$E$6:$E$9,"Ambos")+COUNTIFS('Defensa'!$B$6:$B$10,$A87,'Defensa'!$E$6:$E$10,"Víctor")+COUNTIFS('Defensa'!$B$6:$B$10,$A87,'Defensa'!$E$6:$E$10,"Ambos")</f>
        <v/>
      </c>
      <c r="G87" s="21">
        <f>COUNTIFS('S1'!$B$6:$B$32,$A87,'S1'!$E$6:$E$32,"Diego")+COUNTIFS('S1'!$B$6:$B$32,$A87,'S1'!$E$6:$E$32,"Ambos")+COUNTIFS('S2'!$B$6:$B$23,$A87,'S2'!$E$6:$E$23,"Diego")+COUNTIFS('S2'!$B$6:$B$23,$A87,'S2'!$E$6:$E$23,"Ambos")+COUNTIFS('S3'!$B$6:$B$24,$A87,'S3'!$E$6:$E$24,"Diego")+COUNTIFS('S3'!$B$6:$B$24,$A87,'S3'!$E$6:$E$24,"Ambos")+COUNTIFS('S4'!$B$6:$B$22,$A87,'S4'!$E$6:$E$22,"Diego")+COUNTIFS('S4'!$B$6:$B$22,$A87,'S4'!$E$6:$E$22,"Ambos")+COUNTIFS('S5'!$B$6:$B$20,$A87,'S5'!$E$6:$E$20,"Diego")+COUNTIFS('S5'!$B$6:$B$20,$A87,'S5'!$E$6:$E$20,"Ambos")+COUNTIFS('S6'!$B$6:$B$17,$A87,'S6'!$E$6:$E$17,"Diego")+COUNTIFS('S6'!$B$6:$B$17,$A87,'S6'!$E$6:$E$17,"Ambos")+COUNTIFS('S7'!$B$6:$B$19,$A87,'S7'!$E$6:$E$19,"Diego")+COUNTIFS('S7'!$B$6:$B$19,$A87,'S7'!$E$6:$E$19,"Ambos")+COUNTIFS('S8'!$B$6:$B$23,$A87,'S8'!$E$6:$E$23,"Diego")+COUNTIFS('S8'!$B$6:$B$23,$A87,'S8'!$E$6:$E$23,"Ambos")+COUNTIFS('S9'!$B$6:$B$15,$A87,'S9'!$E$6:$E$15,"Diego")+COUNTIFS('S9'!$B$6:$B$15,$A87,'S9'!$E$6:$E$15,"Ambos")+COUNTIFS('S10'!$B$6:$B$13,$A87,'S10'!$E$6:$E$13,"Diego")+COUNTIFS('S10'!$B$6:$B$13,$A87,'S10'!$E$6:$E$13,"Ambos")+COUNTIFS('Holgura'!$B$6:$B$11,$A87,'Holgura'!$E$6:$E$11,"Diego")+COUNTIFS('Holgura'!$B$6:$B$11,$A87,'Holgura'!$E$6:$E$11,"Ambos")+COUNTIFS('Entrega'!$B$6:$B$9,$A87,'Entrega'!$E$6:$E$9,"Diego")+COUNTIFS('Entrega'!$B$6:$B$9,$A87,'Entrega'!$E$6:$E$9,"Ambos")+COUNTIFS('Defensa'!$B$6:$B$10,$A87,'Defensa'!$E$6:$E$10,"Diego")+COUNTIFS('Defensa'!$B$6:$B$10,$A87,'Defensa'!$E$6:$E$10,"Ambos")</f>
        <v/>
      </c>
    </row>
    <row r="88">
      <c r="A88" s="25" t="n">
        <v>46390</v>
      </c>
      <c r="B88" s="26">
        <f>A88</f>
        <v/>
      </c>
      <c r="C88" s="21">
        <f>IF(WEEKDAY(A88,2)&gt;5,4,2)</f>
        <v/>
      </c>
      <c r="D88" s="21">
        <f>SUMIFS('S1'!$I$6:$I$32,'S1'!$B$6:$B$32,$A88,'S1'!$E$6:$E$32,"Víctor")+SUMIFS('S1'!$I$6:$I$32,'S1'!$B$6:$B$32,$A88,'S1'!$E$6:$E$32,"Ambos")+SUMIFS('S2'!$I$6:$I$23,'S2'!$B$6:$B$23,$A88,'S2'!$E$6:$E$23,"Víctor")+SUMIFS('S2'!$I$6:$I$23,'S2'!$B$6:$B$23,$A88,'S2'!$E$6:$E$23,"Ambos")+SUMIFS('S3'!$I$6:$I$24,'S3'!$B$6:$B$24,$A88,'S3'!$E$6:$E$24,"Víctor")+SUMIFS('S3'!$I$6:$I$24,'S3'!$B$6:$B$24,$A88,'S3'!$E$6:$E$24,"Ambos")+SUMIFS('S4'!$I$6:$I$22,'S4'!$B$6:$B$22,$A88,'S4'!$E$6:$E$22,"Víctor")+SUMIFS('S4'!$I$6:$I$22,'S4'!$B$6:$B$22,$A88,'S4'!$E$6:$E$22,"Ambos")+SUMIFS('S5'!$I$6:$I$20,'S5'!$B$6:$B$20,$A88,'S5'!$E$6:$E$20,"Víctor")+SUMIFS('S5'!$I$6:$I$20,'S5'!$B$6:$B$20,$A88,'S5'!$E$6:$E$20,"Ambos")+SUMIFS('S6'!$I$6:$I$17,'S6'!$B$6:$B$17,$A88,'S6'!$E$6:$E$17,"Víctor")+SUMIFS('S6'!$I$6:$I$17,'S6'!$B$6:$B$17,$A88,'S6'!$E$6:$E$17,"Ambos")+SUMIFS('S7'!$I$6:$I$19,'S7'!$B$6:$B$19,$A88,'S7'!$E$6:$E$19,"Víctor")+SUMIFS('S7'!$I$6:$I$19,'S7'!$B$6:$B$19,$A88,'S7'!$E$6:$E$19,"Ambos")+SUMIFS('S8'!$I$6:$I$23,'S8'!$B$6:$B$23,$A88,'S8'!$E$6:$E$23,"Víctor")+SUMIFS('S8'!$I$6:$I$23,'S8'!$B$6:$B$23,$A88,'S8'!$E$6:$E$23,"Ambos")+SUMIFS('S9'!$I$6:$I$15,'S9'!$B$6:$B$15,$A88,'S9'!$E$6:$E$15,"Víctor")+SUMIFS('S9'!$I$6:$I$15,'S9'!$B$6:$B$15,$A88,'S9'!$E$6:$E$15,"Ambos")+SUMIFS('S10'!$I$6:$I$13,'S10'!$B$6:$B$13,$A88,'S10'!$E$6:$E$13,"Víctor")+SUMIFS('S10'!$I$6:$I$13,'S10'!$B$6:$B$13,$A88,'S10'!$E$6:$E$13,"Ambos")+SUMIFS('Holgura'!$I$6:$I$11,'Holgura'!$B$6:$B$11,$A88,'Holgura'!$E$6:$E$11,"Víctor")+SUMIFS('Holgura'!$I$6:$I$11,'Holgura'!$B$6:$B$11,$A88,'Holgura'!$E$6:$E$11,"Ambos")+SUMIFS('Entrega'!$I$6:$I$9,'Entrega'!$B$6:$B$9,$A88,'Entrega'!$E$6:$E$9,"Víctor")+SUMIFS('Entrega'!$I$6:$I$9,'Entrega'!$B$6:$B$9,$A88,'Entrega'!$E$6:$E$9,"Ambos")+SUMIFS('Defensa'!$I$6:$I$10,'Defensa'!$B$6:$B$10,$A88,'Defensa'!$E$6:$E$10,"Víctor")+SUMIFS('Defensa'!$I$6:$I$10,'Defensa'!$B$6:$B$10,$A88,'Defensa'!$E$6:$E$10,"Ambos")</f>
        <v/>
      </c>
      <c r="E88" s="21">
        <f>SUMIFS('S1'!$I$6:$I$32,'S1'!$B$6:$B$32,$A88,'S1'!$E$6:$E$32,"Diego")+SUMIFS('S1'!$I$6:$I$32,'S1'!$B$6:$B$32,$A88,'S1'!$E$6:$E$32,"Ambos")+SUMIFS('S2'!$I$6:$I$23,'S2'!$B$6:$B$23,$A88,'S2'!$E$6:$E$23,"Diego")+SUMIFS('S2'!$I$6:$I$23,'S2'!$B$6:$B$23,$A88,'S2'!$E$6:$E$23,"Ambos")+SUMIFS('S3'!$I$6:$I$24,'S3'!$B$6:$B$24,$A88,'S3'!$E$6:$E$24,"Diego")+SUMIFS('S3'!$I$6:$I$24,'S3'!$B$6:$B$24,$A88,'S3'!$E$6:$E$24,"Ambos")+SUMIFS('S4'!$I$6:$I$22,'S4'!$B$6:$B$22,$A88,'S4'!$E$6:$E$22,"Diego")+SUMIFS('S4'!$I$6:$I$22,'S4'!$B$6:$B$22,$A88,'S4'!$E$6:$E$22,"Ambos")+SUMIFS('S5'!$I$6:$I$20,'S5'!$B$6:$B$20,$A88,'S5'!$E$6:$E$20,"Diego")+SUMIFS('S5'!$I$6:$I$20,'S5'!$B$6:$B$20,$A88,'S5'!$E$6:$E$20,"Ambos")+SUMIFS('S6'!$I$6:$I$17,'S6'!$B$6:$B$17,$A88,'S6'!$E$6:$E$17,"Diego")+SUMIFS('S6'!$I$6:$I$17,'S6'!$B$6:$B$17,$A88,'S6'!$E$6:$E$17,"Ambos")+SUMIFS('S7'!$I$6:$I$19,'S7'!$B$6:$B$19,$A88,'S7'!$E$6:$E$19,"Diego")+SUMIFS('S7'!$I$6:$I$19,'S7'!$B$6:$B$19,$A88,'S7'!$E$6:$E$19,"Ambos")+SUMIFS('S8'!$I$6:$I$23,'S8'!$B$6:$B$23,$A88,'S8'!$E$6:$E$23,"Diego")+SUMIFS('S8'!$I$6:$I$23,'S8'!$B$6:$B$23,$A88,'S8'!$E$6:$E$23,"Ambos")+SUMIFS('S9'!$I$6:$I$15,'S9'!$B$6:$B$15,$A88,'S9'!$E$6:$E$15,"Diego")+SUMIFS('S9'!$I$6:$I$15,'S9'!$B$6:$B$15,$A88,'S9'!$E$6:$E$15,"Ambos")+SUMIFS('S10'!$I$6:$I$13,'S10'!$B$6:$B$13,$A88,'S10'!$E$6:$E$13,"Diego")+SUMIFS('S10'!$I$6:$I$13,'S10'!$B$6:$B$13,$A88,'S10'!$E$6:$E$13,"Ambos")+SUMIFS('Holgura'!$I$6:$I$11,'Holgura'!$B$6:$B$11,$A88,'Holgura'!$E$6:$E$11,"Diego")+SUMIFS('Holgura'!$I$6:$I$11,'Holgura'!$B$6:$B$11,$A88,'Holgura'!$E$6:$E$11,"Ambos")+SUMIFS('Entrega'!$I$6:$I$9,'Entrega'!$B$6:$B$9,$A88,'Entrega'!$E$6:$E$9,"Diego")+SUMIFS('Entrega'!$I$6:$I$9,'Entrega'!$B$6:$B$9,$A88,'Entrega'!$E$6:$E$9,"Ambos")+SUMIFS('Defensa'!$I$6:$I$10,'Defensa'!$B$6:$B$10,$A88,'Defensa'!$E$6:$E$10,"Diego")+SUMIFS('Defensa'!$I$6:$I$10,'Defensa'!$B$6:$B$10,$A88,'Defensa'!$E$6:$E$10,"Ambos")</f>
        <v/>
      </c>
      <c r="F88" s="21">
        <f>COUNTIFS('S1'!$B$6:$B$32,$A88,'S1'!$E$6:$E$32,"Víctor")+COUNTIFS('S1'!$B$6:$B$32,$A88,'S1'!$E$6:$E$32,"Ambos")+COUNTIFS('S2'!$B$6:$B$23,$A88,'S2'!$E$6:$E$23,"Víctor")+COUNTIFS('S2'!$B$6:$B$23,$A88,'S2'!$E$6:$E$23,"Ambos")+COUNTIFS('S3'!$B$6:$B$24,$A88,'S3'!$E$6:$E$24,"Víctor")+COUNTIFS('S3'!$B$6:$B$24,$A88,'S3'!$E$6:$E$24,"Ambos")+COUNTIFS('S4'!$B$6:$B$22,$A88,'S4'!$E$6:$E$22,"Víctor")+COUNTIFS('S4'!$B$6:$B$22,$A88,'S4'!$E$6:$E$22,"Ambos")+COUNTIFS('S5'!$B$6:$B$20,$A88,'S5'!$E$6:$E$20,"Víctor")+COUNTIFS('S5'!$B$6:$B$20,$A88,'S5'!$E$6:$E$20,"Ambos")+COUNTIFS('S6'!$B$6:$B$17,$A88,'S6'!$E$6:$E$17,"Víctor")+COUNTIFS('S6'!$B$6:$B$17,$A88,'S6'!$E$6:$E$17,"Ambos")+COUNTIFS('S7'!$B$6:$B$19,$A88,'S7'!$E$6:$E$19,"Víctor")+COUNTIFS('S7'!$B$6:$B$19,$A88,'S7'!$E$6:$E$19,"Ambos")+COUNTIFS('S8'!$B$6:$B$23,$A88,'S8'!$E$6:$E$23,"Víctor")+COUNTIFS('S8'!$B$6:$B$23,$A88,'S8'!$E$6:$E$23,"Ambos")+COUNTIFS('S9'!$B$6:$B$15,$A88,'S9'!$E$6:$E$15,"Víctor")+COUNTIFS('S9'!$B$6:$B$15,$A88,'S9'!$E$6:$E$15,"Ambos")+COUNTIFS('S10'!$B$6:$B$13,$A88,'S10'!$E$6:$E$13,"Víctor")+COUNTIFS('S10'!$B$6:$B$13,$A88,'S10'!$E$6:$E$13,"Ambos")+COUNTIFS('Holgura'!$B$6:$B$11,$A88,'Holgura'!$E$6:$E$11,"Víctor")+COUNTIFS('Holgura'!$B$6:$B$11,$A88,'Holgura'!$E$6:$E$11,"Ambos")+COUNTIFS('Entrega'!$B$6:$B$9,$A88,'Entrega'!$E$6:$E$9,"Víctor")+COUNTIFS('Entrega'!$B$6:$B$9,$A88,'Entrega'!$E$6:$E$9,"Ambos")+COUNTIFS('Defensa'!$B$6:$B$10,$A88,'Defensa'!$E$6:$E$10,"Víctor")+COUNTIFS('Defensa'!$B$6:$B$10,$A88,'Defensa'!$E$6:$E$10,"Ambos")</f>
        <v/>
      </c>
      <c r="G88" s="21">
        <f>COUNTIFS('S1'!$B$6:$B$32,$A88,'S1'!$E$6:$E$32,"Diego")+COUNTIFS('S1'!$B$6:$B$32,$A88,'S1'!$E$6:$E$32,"Ambos")+COUNTIFS('S2'!$B$6:$B$23,$A88,'S2'!$E$6:$E$23,"Diego")+COUNTIFS('S2'!$B$6:$B$23,$A88,'S2'!$E$6:$E$23,"Ambos")+COUNTIFS('S3'!$B$6:$B$24,$A88,'S3'!$E$6:$E$24,"Diego")+COUNTIFS('S3'!$B$6:$B$24,$A88,'S3'!$E$6:$E$24,"Ambos")+COUNTIFS('S4'!$B$6:$B$22,$A88,'S4'!$E$6:$E$22,"Diego")+COUNTIFS('S4'!$B$6:$B$22,$A88,'S4'!$E$6:$E$22,"Ambos")+COUNTIFS('S5'!$B$6:$B$20,$A88,'S5'!$E$6:$E$20,"Diego")+COUNTIFS('S5'!$B$6:$B$20,$A88,'S5'!$E$6:$E$20,"Ambos")+COUNTIFS('S6'!$B$6:$B$17,$A88,'S6'!$E$6:$E$17,"Diego")+COUNTIFS('S6'!$B$6:$B$17,$A88,'S6'!$E$6:$E$17,"Ambos")+COUNTIFS('S7'!$B$6:$B$19,$A88,'S7'!$E$6:$E$19,"Diego")+COUNTIFS('S7'!$B$6:$B$19,$A88,'S7'!$E$6:$E$19,"Ambos")+COUNTIFS('S8'!$B$6:$B$23,$A88,'S8'!$E$6:$E$23,"Diego")+COUNTIFS('S8'!$B$6:$B$23,$A88,'S8'!$E$6:$E$23,"Ambos")+COUNTIFS('S9'!$B$6:$B$15,$A88,'S9'!$E$6:$E$15,"Diego")+COUNTIFS('S9'!$B$6:$B$15,$A88,'S9'!$E$6:$E$15,"Ambos")+COUNTIFS('S10'!$B$6:$B$13,$A88,'S10'!$E$6:$E$13,"Diego")+COUNTIFS('S10'!$B$6:$B$13,$A88,'S10'!$E$6:$E$13,"Ambos")+COUNTIFS('Holgura'!$B$6:$B$11,$A88,'Holgura'!$E$6:$E$11,"Diego")+COUNTIFS('Holgura'!$B$6:$B$11,$A88,'Holgura'!$E$6:$E$11,"Ambos")+COUNTIFS('Entrega'!$B$6:$B$9,$A88,'Entrega'!$E$6:$E$9,"Diego")+COUNTIFS('Entrega'!$B$6:$B$9,$A88,'Entrega'!$E$6:$E$9,"Ambos")+COUNTIFS('Defensa'!$B$6:$B$10,$A88,'Defensa'!$E$6:$E$10,"Diego")+COUNTIFS('Defensa'!$B$6:$B$10,$A88,'Defensa'!$E$6:$E$10,"Ambos")</f>
        <v/>
      </c>
    </row>
    <row r="89">
      <c r="A89" s="25" t="n">
        <v>46391</v>
      </c>
      <c r="B89" s="26">
        <f>A89</f>
        <v/>
      </c>
      <c r="C89" s="21">
        <f>IF(WEEKDAY(A89,2)&gt;5,4,2)</f>
        <v/>
      </c>
      <c r="D89" s="21">
        <f>SUMIFS('S1'!$I$6:$I$32,'S1'!$B$6:$B$32,$A89,'S1'!$E$6:$E$32,"Víctor")+SUMIFS('S1'!$I$6:$I$32,'S1'!$B$6:$B$32,$A89,'S1'!$E$6:$E$32,"Ambos")+SUMIFS('S2'!$I$6:$I$23,'S2'!$B$6:$B$23,$A89,'S2'!$E$6:$E$23,"Víctor")+SUMIFS('S2'!$I$6:$I$23,'S2'!$B$6:$B$23,$A89,'S2'!$E$6:$E$23,"Ambos")+SUMIFS('S3'!$I$6:$I$24,'S3'!$B$6:$B$24,$A89,'S3'!$E$6:$E$24,"Víctor")+SUMIFS('S3'!$I$6:$I$24,'S3'!$B$6:$B$24,$A89,'S3'!$E$6:$E$24,"Ambos")+SUMIFS('S4'!$I$6:$I$22,'S4'!$B$6:$B$22,$A89,'S4'!$E$6:$E$22,"Víctor")+SUMIFS('S4'!$I$6:$I$22,'S4'!$B$6:$B$22,$A89,'S4'!$E$6:$E$22,"Ambos")+SUMIFS('S5'!$I$6:$I$20,'S5'!$B$6:$B$20,$A89,'S5'!$E$6:$E$20,"Víctor")+SUMIFS('S5'!$I$6:$I$20,'S5'!$B$6:$B$20,$A89,'S5'!$E$6:$E$20,"Ambos")+SUMIFS('S6'!$I$6:$I$17,'S6'!$B$6:$B$17,$A89,'S6'!$E$6:$E$17,"Víctor")+SUMIFS('S6'!$I$6:$I$17,'S6'!$B$6:$B$17,$A89,'S6'!$E$6:$E$17,"Ambos")+SUMIFS('S7'!$I$6:$I$19,'S7'!$B$6:$B$19,$A89,'S7'!$E$6:$E$19,"Víctor")+SUMIFS('S7'!$I$6:$I$19,'S7'!$B$6:$B$19,$A89,'S7'!$E$6:$E$19,"Ambos")+SUMIFS('S8'!$I$6:$I$23,'S8'!$B$6:$B$23,$A89,'S8'!$E$6:$E$23,"Víctor")+SUMIFS('S8'!$I$6:$I$23,'S8'!$B$6:$B$23,$A89,'S8'!$E$6:$E$23,"Ambos")+SUMIFS('S9'!$I$6:$I$15,'S9'!$B$6:$B$15,$A89,'S9'!$E$6:$E$15,"Víctor")+SUMIFS('S9'!$I$6:$I$15,'S9'!$B$6:$B$15,$A89,'S9'!$E$6:$E$15,"Ambos")+SUMIFS('S10'!$I$6:$I$13,'S10'!$B$6:$B$13,$A89,'S10'!$E$6:$E$13,"Víctor")+SUMIFS('S10'!$I$6:$I$13,'S10'!$B$6:$B$13,$A89,'S10'!$E$6:$E$13,"Ambos")+SUMIFS('Holgura'!$I$6:$I$11,'Holgura'!$B$6:$B$11,$A89,'Holgura'!$E$6:$E$11,"Víctor")+SUMIFS('Holgura'!$I$6:$I$11,'Holgura'!$B$6:$B$11,$A89,'Holgura'!$E$6:$E$11,"Ambos")+SUMIFS('Entrega'!$I$6:$I$9,'Entrega'!$B$6:$B$9,$A89,'Entrega'!$E$6:$E$9,"Víctor")+SUMIFS('Entrega'!$I$6:$I$9,'Entrega'!$B$6:$B$9,$A89,'Entrega'!$E$6:$E$9,"Ambos")+SUMIFS('Defensa'!$I$6:$I$10,'Defensa'!$B$6:$B$10,$A89,'Defensa'!$E$6:$E$10,"Víctor")+SUMIFS('Defensa'!$I$6:$I$10,'Defensa'!$B$6:$B$10,$A89,'Defensa'!$E$6:$E$10,"Ambos")</f>
        <v/>
      </c>
      <c r="E89" s="21">
        <f>SUMIFS('S1'!$I$6:$I$32,'S1'!$B$6:$B$32,$A89,'S1'!$E$6:$E$32,"Diego")+SUMIFS('S1'!$I$6:$I$32,'S1'!$B$6:$B$32,$A89,'S1'!$E$6:$E$32,"Ambos")+SUMIFS('S2'!$I$6:$I$23,'S2'!$B$6:$B$23,$A89,'S2'!$E$6:$E$23,"Diego")+SUMIFS('S2'!$I$6:$I$23,'S2'!$B$6:$B$23,$A89,'S2'!$E$6:$E$23,"Ambos")+SUMIFS('S3'!$I$6:$I$24,'S3'!$B$6:$B$24,$A89,'S3'!$E$6:$E$24,"Diego")+SUMIFS('S3'!$I$6:$I$24,'S3'!$B$6:$B$24,$A89,'S3'!$E$6:$E$24,"Ambos")+SUMIFS('S4'!$I$6:$I$22,'S4'!$B$6:$B$22,$A89,'S4'!$E$6:$E$22,"Diego")+SUMIFS('S4'!$I$6:$I$22,'S4'!$B$6:$B$22,$A89,'S4'!$E$6:$E$22,"Ambos")+SUMIFS('S5'!$I$6:$I$20,'S5'!$B$6:$B$20,$A89,'S5'!$E$6:$E$20,"Diego")+SUMIFS('S5'!$I$6:$I$20,'S5'!$B$6:$B$20,$A89,'S5'!$E$6:$E$20,"Ambos")+SUMIFS('S6'!$I$6:$I$17,'S6'!$B$6:$B$17,$A89,'S6'!$E$6:$E$17,"Diego")+SUMIFS('S6'!$I$6:$I$17,'S6'!$B$6:$B$17,$A89,'S6'!$E$6:$E$17,"Ambos")+SUMIFS('S7'!$I$6:$I$19,'S7'!$B$6:$B$19,$A89,'S7'!$E$6:$E$19,"Diego")+SUMIFS('S7'!$I$6:$I$19,'S7'!$B$6:$B$19,$A89,'S7'!$E$6:$E$19,"Ambos")+SUMIFS('S8'!$I$6:$I$23,'S8'!$B$6:$B$23,$A89,'S8'!$E$6:$E$23,"Diego")+SUMIFS('S8'!$I$6:$I$23,'S8'!$B$6:$B$23,$A89,'S8'!$E$6:$E$23,"Ambos")+SUMIFS('S9'!$I$6:$I$15,'S9'!$B$6:$B$15,$A89,'S9'!$E$6:$E$15,"Diego")+SUMIFS('S9'!$I$6:$I$15,'S9'!$B$6:$B$15,$A89,'S9'!$E$6:$E$15,"Ambos")+SUMIFS('S10'!$I$6:$I$13,'S10'!$B$6:$B$13,$A89,'S10'!$E$6:$E$13,"Diego")+SUMIFS('S10'!$I$6:$I$13,'S10'!$B$6:$B$13,$A89,'S10'!$E$6:$E$13,"Ambos")+SUMIFS('Holgura'!$I$6:$I$11,'Holgura'!$B$6:$B$11,$A89,'Holgura'!$E$6:$E$11,"Diego")+SUMIFS('Holgura'!$I$6:$I$11,'Holgura'!$B$6:$B$11,$A89,'Holgura'!$E$6:$E$11,"Ambos")+SUMIFS('Entrega'!$I$6:$I$9,'Entrega'!$B$6:$B$9,$A89,'Entrega'!$E$6:$E$9,"Diego")+SUMIFS('Entrega'!$I$6:$I$9,'Entrega'!$B$6:$B$9,$A89,'Entrega'!$E$6:$E$9,"Ambos")+SUMIFS('Defensa'!$I$6:$I$10,'Defensa'!$B$6:$B$10,$A89,'Defensa'!$E$6:$E$10,"Diego")+SUMIFS('Defensa'!$I$6:$I$10,'Defensa'!$B$6:$B$10,$A89,'Defensa'!$E$6:$E$10,"Ambos")</f>
        <v/>
      </c>
      <c r="F89" s="21">
        <f>COUNTIFS('S1'!$B$6:$B$32,$A89,'S1'!$E$6:$E$32,"Víctor")+COUNTIFS('S1'!$B$6:$B$32,$A89,'S1'!$E$6:$E$32,"Ambos")+COUNTIFS('S2'!$B$6:$B$23,$A89,'S2'!$E$6:$E$23,"Víctor")+COUNTIFS('S2'!$B$6:$B$23,$A89,'S2'!$E$6:$E$23,"Ambos")+COUNTIFS('S3'!$B$6:$B$24,$A89,'S3'!$E$6:$E$24,"Víctor")+COUNTIFS('S3'!$B$6:$B$24,$A89,'S3'!$E$6:$E$24,"Ambos")+COUNTIFS('S4'!$B$6:$B$22,$A89,'S4'!$E$6:$E$22,"Víctor")+COUNTIFS('S4'!$B$6:$B$22,$A89,'S4'!$E$6:$E$22,"Ambos")+COUNTIFS('S5'!$B$6:$B$20,$A89,'S5'!$E$6:$E$20,"Víctor")+COUNTIFS('S5'!$B$6:$B$20,$A89,'S5'!$E$6:$E$20,"Ambos")+COUNTIFS('S6'!$B$6:$B$17,$A89,'S6'!$E$6:$E$17,"Víctor")+COUNTIFS('S6'!$B$6:$B$17,$A89,'S6'!$E$6:$E$17,"Ambos")+COUNTIFS('S7'!$B$6:$B$19,$A89,'S7'!$E$6:$E$19,"Víctor")+COUNTIFS('S7'!$B$6:$B$19,$A89,'S7'!$E$6:$E$19,"Ambos")+COUNTIFS('S8'!$B$6:$B$23,$A89,'S8'!$E$6:$E$23,"Víctor")+COUNTIFS('S8'!$B$6:$B$23,$A89,'S8'!$E$6:$E$23,"Ambos")+COUNTIFS('S9'!$B$6:$B$15,$A89,'S9'!$E$6:$E$15,"Víctor")+COUNTIFS('S9'!$B$6:$B$15,$A89,'S9'!$E$6:$E$15,"Ambos")+COUNTIFS('S10'!$B$6:$B$13,$A89,'S10'!$E$6:$E$13,"Víctor")+COUNTIFS('S10'!$B$6:$B$13,$A89,'S10'!$E$6:$E$13,"Ambos")+COUNTIFS('Holgura'!$B$6:$B$11,$A89,'Holgura'!$E$6:$E$11,"Víctor")+COUNTIFS('Holgura'!$B$6:$B$11,$A89,'Holgura'!$E$6:$E$11,"Ambos")+COUNTIFS('Entrega'!$B$6:$B$9,$A89,'Entrega'!$E$6:$E$9,"Víctor")+COUNTIFS('Entrega'!$B$6:$B$9,$A89,'Entrega'!$E$6:$E$9,"Ambos")+COUNTIFS('Defensa'!$B$6:$B$10,$A89,'Defensa'!$E$6:$E$10,"Víctor")+COUNTIFS('Defensa'!$B$6:$B$10,$A89,'Defensa'!$E$6:$E$10,"Ambos")</f>
        <v/>
      </c>
      <c r="G89" s="21">
        <f>COUNTIFS('S1'!$B$6:$B$32,$A89,'S1'!$E$6:$E$32,"Diego")+COUNTIFS('S1'!$B$6:$B$32,$A89,'S1'!$E$6:$E$32,"Ambos")+COUNTIFS('S2'!$B$6:$B$23,$A89,'S2'!$E$6:$E$23,"Diego")+COUNTIFS('S2'!$B$6:$B$23,$A89,'S2'!$E$6:$E$23,"Ambos")+COUNTIFS('S3'!$B$6:$B$24,$A89,'S3'!$E$6:$E$24,"Diego")+COUNTIFS('S3'!$B$6:$B$24,$A89,'S3'!$E$6:$E$24,"Ambos")+COUNTIFS('S4'!$B$6:$B$22,$A89,'S4'!$E$6:$E$22,"Diego")+COUNTIFS('S4'!$B$6:$B$22,$A89,'S4'!$E$6:$E$22,"Ambos")+COUNTIFS('S5'!$B$6:$B$20,$A89,'S5'!$E$6:$E$20,"Diego")+COUNTIFS('S5'!$B$6:$B$20,$A89,'S5'!$E$6:$E$20,"Ambos")+COUNTIFS('S6'!$B$6:$B$17,$A89,'S6'!$E$6:$E$17,"Diego")+COUNTIFS('S6'!$B$6:$B$17,$A89,'S6'!$E$6:$E$17,"Ambos")+COUNTIFS('S7'!$B$6:$B$19,$A89,'S7'!$E$6:$E$19,"Diego")+COUNTIFS('S7'!$B$6:$B$19,$A89,'S7'!$E$6:$E$19,"Ambos")+COUNTIFS('S8'!$B$6:$B$23,$A89,'S8'!$E$6:$E$23,"Diego")+COUNTIFS('S8'!$B$6:$B$23,$A89,'S8'!$E$6:$E$23,"Ambos")+COUNTIFS('S9'!$B$6:$B$15,$A89,'S9'!$E$6:$E$15,"Diego")+COUNTIFS('S9'!$B$6:$B$15,$A89,'S9'!$E$6:$E$15,"Ambos")+COUNTIFS('S10'!$B$6:$B$13,$A89,'S10'!$E$6:$E$13,"Diego")+COUNTIFS('S10'!$B$6:$B$13,$A89,'S10'!$E$6:$E$13,"Ambos")+COUNTIFS('Holgura'!$B$6:$B$11,$A89,'Holgura'!$E$6:$E$11,"Diego")+COUNTIFS('Holgura'!$B$6:$B$11,$A89,'Holgura'!$E$6:$E$11,"Ambos")+COUNTIFS('Entrega'!$B$6:$B$9,$A89,'Entrega'!$E$6:$E$9,"Diego")+COUNTIFS('Entrega'!$B$6:$B$9,$A89,'Entrega'!$E$6:$E$9,"Ambos")+COUNTIFS('Defensa'!$B$6:$B$10,$A89,'Defensa'!$E$6:$E$10,"Diego")+COUNTIFS('Defensa'!$B$6:$B$10,$A89,'Defensa'!$E$6:$E$10,"Ambos")</f>
        <v/>
      </c>
    </row>
    <row r="90">
      <c r="A90" s="25" t="n">
        <v>46392</v>
      </c>
      <c r="B90" s="26">
        <f>A90</f>
        <v/>
      </c>
      <c r="C90" s="21">
        <f>IF(WEEKDAY(A90,2)&gt;5,4,2)</f>
        <v/>
      </c>
      <c r="D90" s="21">
        <f>SUMIFS('S1'!$I$6:$I$32,'S1'!$B$6:$B$32,$A90,'S1'!$E$6:$E$32,"Víctor")+SUMIFS('S1'!$I$6:$I$32,'S1'!$B$6:$B$32,$A90,'S1'!$E$6:$E$32,"Ambos")+SUMIFS('S2'!$I$6:$I$23,'S2'!$B$6:$B$23,$A90,'S2'!$E$6:$E$23,"Víctor")+SUMIFS('S2'!$I$6:$I$23,'S2'!$B$6:$B$23,$A90,'S2'!$E$6:$E$23,"Ambos")+SUMIFS('S3'!$I$6:$I$24,'S3'!$B$6:$B$24,$A90,'S3'!$E$6:$E$24,"Víctor")+SUMIFS('S3'!$I$6:$I$24,'S3'!$B$6:$B$24,$A90,'S3'!$E$6:$E$24,"Ambos")+SUMIFS('S4'!$I$6:$I$22,'S4'!$B$6:$B$22,$A90,'S4'!$E$6:$E$22,"Víctor")+SUMIFS('S4'!$I$6:$I$22,'S4'!$B$6:$B$22,$A90,'S4'!$E$6:$E$22,"Ambos")+SUMIFS('S5'!$I$6:$I$20,'S5'!$B$6:$B$20,$A90,'S5'!$E$6:$E$20,"Víctor")+SUMIFS('S5'!$I$6:$I$20,'S5'!$B$6:$B$20,$A90,'S5'!$E$6:$E$20,"Ambos")+SUMIFS('S6'!$I$6:$I$17,'S6'!$B$6:$B$17,$A90,'S6'!$E$6:$E$17,"Víctor")+SUMIFS('S6'!$I$6:$I$17,'S6'!$B$6:$B$17,$A90,'S6'!$E$6:$E$17,"Ambos")+SUMIFS('S7'!$I$6:$I$19,'S7'!$B$6:$B$19,$A90,'S7'!$E$6:$E$19,"Víctor")+SUMIFS('S7'!$I$6:$I$19,'S7'!$B$6:$B$19,$A90,'S7'!$E$6:$E$19,"Ambos")+SUMIFS('S8'!$I$6:$I$23,'S8'!$B$6:$B$23,$A90,'S8'!$E$6:$E$23,"Víctor")+SUMIFS('S8'!$I$6:$I$23,'S8'!$B$6:$B$23,$A90,'S8'!$E$6:$E$23,"Ambos")+SUMIFS('S9'!$I$6:$I$15,'S9'!$B$6:$B$15,$A90,'S9'!$E$6:$E$15,"Víctor")+SUMIFS('S9'!$I$6:$I$15,'S9'!$B$6:$B$15,$A90,'S9'!$E$6:$E$15,"Ambos")+SUMIFS('S10'!$I$6:$I$13,'S10'!$B$6:$B$13,$A90,'S10'!$E$6:$E$13,"Víctor")+SUMIFS('S10'!$I$6:$I$13,'S10'!$B$6:$B$13,$A90,'S10'!$E$6:$E$13,"Ambos")+SUMIFS('Holgura'!$I$6:$I$11,'Holgura'!$B$6:$B$11,$A90,'Holgura'!$E$6:$E$11,"Víctor")+SUMIFS('Holgura'!$I$6:$I$11,'Holgura'!$B$6:$B$11,$A90,'Holgura'!$E$6:$E$11,"Ambos")+SUMIFS('Entrega'!$I$6:$I$9,'Entrega'!$B$6:$B$9,$A90,'Entrega'!$E$6:$E$9,"Víctor")+SUMIFS('Entrega'!$I$6:$I$9,'Entrega'!$B$6:$B$9,$A90,'Entrega'!$E$6:$E$9,"Ambos")+SUMIFS('Defensa'!$I$6:$I$10,'Defensa'!$B$6:$B$10,$A90,'Defensa'!$E$6:$E$10,"Víctor")+SUMIFS('Defensa'!$I$6:$I$10,'Defensa'!$B$6:$B$10,$A90,'Defensa'!$E$6:$E$10,"Ambos")</f>
        <v/>
      </c>
      <c r="E90" s="21">
        <f>SUMIFS('S1'!$I$6:$I$32,'S1'!$B$6:$B$32,$A90,'S1'!$E$6:$E$32,"Diego")+SUMIFS('S1'!$I$6:$I$32,'S1'!$B$6:$B$32,$A90,'S1'!$E$6:$E$32,"Ambos")+SUMIFS('S2'!$I$6:$I$23,'S2'!$B$6:$B$23,$A90,'S2'!$E$6:$E$23,"Diego")+SUMIFS('S2'!$I$6:$I$23,'S2'!$B$6:$B$23,$A90,'S2'!$E$6:$E$23,"Ambos")+SUMIFS('S3'!$I$6:$I$24,'S3'!$B$6:$B$24,$A90,'S3'!$E$6:$E$24,"Diego")+SUMIFS('S3'!$I$6:$I$24,'S3'!$B$6:$B$24,$A90,'S3'!$E$6:$E$24,"Ambos")+SUMIFS('S4'!$I$6:$I$22,'S4'!$B$6:$B$22,$A90,'S4'!$E$6:$E$22,"Diego")+SUMIFS('S4'!$I$6:$I$22,'S4'!$B$6:$B$22,$A90,'S4'!$E$6:$E$22,"Ambos")+SUMIFS('S5'!$I$6:$I$20,'S5'!$B$6:$B$20,$A90,'S5'!$E$6:$E$20,"Diego")+SUMIFS('S5'!$I$6:$I$20,'S5'!$B$6:$B$20,$A90,'S5'!$E$6:$E$20,"Ambos")+SUMIFS('S6'!$I$6:$I$17,'S6'!$B$6:$B$17,$A90,'S6'!$E$6:$E$17,"Diego")+SUMIFS('S6'!$I$6:$I$17,'S6'!$B$6:$B$17,$A90,'S6'!$E$6:$E$17,"Ambos")+SUMIFS('S7'!$I$6:$I$19,'S7'!$B$6:$B$19,$A90,'S7'!$E$6:$E$19,"Diego")+SUMIFS('S7'!$I$6:$I$19,'S7'!$B$6:$B$19,$A90,'S7'!$E$6:$E$19,"Ambos")+SUMIFS('S8'!$I$6:$I$23,'S8'!$B$6:$B$23,$A90,'S8'!$E$6:$E$23,"Diego")+SUMIFS('S8'!$I$6:$I$23,'S8'!$B$6:$B$23,$A90,'S8'!$E$6:$E$23,"Ambos")+SUMIFS('S9'!$I$6:$I$15,'S9'!$B$6:$B$15,$A90,'S9'!$E$6:$E$15,"Diego")+SUMIFS('S9'!$I$6:$I$15,'S9'!$B$6:$B$15,$A90,'S9'!$E$6:$E$15,"Ambos")+SUMIFS('S10'!$I$6:$I$13,'S10'!$B$6:$B$13,$A90,'S10'!$E$6:$E$13,"Diego")+SUMIFS('S10'!$I$6:$I$13,'S10'!$B$6:$B$13,$A90,'S10'!$E$6:$E$13,"Ambos")+SUMIFS('Holgura'!$I$6:$I$11,'Holgura'!$B$6:$B$11,$A90,'Holgura'!$E$6:$E$11,"Diego")+SUMIFS('Holgura'!$I$6:$I$11,'Holgura'!$B$6:$B$11,$A90,'Holgura'!$E$6:$E$11,"Ambos")+SUMIFS('Entrega'!$I$6:$I$9,'Entrega'!$B$6:$B$9,$A90,'Entrega'!$E$6:$E$9,"Diego")+SUMIFS('Entrega'!$I$6:$I$9,'Entrega'!$B$6:$B$9,$A90,'Entrega'!$E$6:$E$9,"Ambos")+SUMIFS('Defensa'!$I$6:$I$10,'Defensa'!$B$6:$B$10,$A90,'Defensa'!$E$6:$E$10,"Diego")+SUMIFS('Defensa'!$I$6:$I$10,'Defensa'!$B$6:$B$10,$A90,'Defensa'!$E$6:$E$10,"Ambos")</f>
        <v/>
      </c>
      <c r="F90" s="21">
        <f>COUNTIFS('S1'!$B$6:$B$32,$A90,'S1'!$E$6:$E$32,"Víctor")+COUNTIFS('S1'!$B$6:$B$32,$A90,'S1'!$E$6:$E$32,"Ambos")+COUNTIFS('S2'!$B$6:$B$23,$A90,'S2'!$E$6:$E$23,"Víctor")+COUNTIFS('S2'!$B$6:$B$23,$A90,'S2'!$E$6:$E$23,"Ambos")+COUNTIFS('S3'!$B$6:$B$24,$A90,'S3'!$E$6:$E$24,"Víctor")+COUNTIFS('S3'!$B$6:$B$24,$A90,'S3'!$E$6:$E$24,"Ambos")+COUNTIFS('S4'!$B$6:$B$22,$A90,'S4'!$E$6:$E$22,"Víctor")+COUNTIFS('S4'!$B$6:$B$22,$A90,'S4'!$E$6:$E$22,"Ambos")+COUNTIFS('S5'!$B$6:$B$20,$A90,'S5'!$E$6:$E$20,"Víctor")+COUNTIFS('S5'!$B$6:$B$20,$A90,'S5'!$E$6:$E$20,"Ambos")+COUNTIFS('S6'!$B$6:$B$17,$A90,'S6'!$E$6:$E$17,"Víctor")+COUNTIFS('S6'!$B$6:$B$17,$A90,'S6'!$E$6:$E$17,"Ambos")+COUNTIFS('S7'!$B$6:$B$19,$A90,'S7'!$E$6:$E$19,"Víctor")+COUNTIFS('S7'!$B$6:$B$19,$A90,'S7'!$E$6:$E$19,"Ambos")+COUNTIFS('S8'!$B$6:$B$23,$A90,'S8'!$E$6:$E$23,"Víctor")+COUNTIFS('S8'!$B$6:$B$23,$A90,'S8'!$E$6:$E$23,"Ambos")+COUNTIFS('S9'!$B$6:$B$15,$A90,'S9'!$E$6:$E$15,"Víctor")+COUNTIFS('S9'!$B$6:$B$15,$A90,'S9'!$E$6:$E$15,"Ambos")+COUNTIFS('S10'!$B$6:$B$13,$A90,'S10'!$E$6:$E$13,"Víctor")+COUNTIFS('S10'!$B$6:$B$13,$A90,'S10'!$E$6:$E$13,"Ambos")+COUNTIFS('Holgura'!$B$6:$B$11,$A90,'Holgura'!$E$6:$E$11,"Víctor")+COUNTIFS('Holgura'!$B$6:$B$11,$A90,'Holgura'!$E$6:$E$11,"Ambos")+COUNTIFS('Entrega'!$B$6:$B$9,$A90,'Entrega'!$E$6:$E$9,"Víctor")+COUNTIFS('Entrega'!$B$6:$B$9,$A90,'Entrega'!$E$6:$E$9,"Ambos")+COUNTIFS('Defensa'!$B$6:$B$10,$A90,'Defensa'!$E$6:$E$10,"Víctor")+COUNTIFS('Defensa'!$B$6:$B$10,$A90,'Defensa'!$E$6:$E$10,"Ambos")</f>
        <v/>
      </c>
      <c r="G90" s="21">
        <f>COUNTIFS('S1'!$B$6:$B$32,$A90,'S1'!$E$6:$E$32,"Diego")+COUNTIFS('S1'!$B$6:$B$32,$A90,'S1'!$E$6:$E$32,"Ambos")+COUNTIFS('S2'!$B$6:$B$23,$A90,'S2'!$E$6:$E$23,"Diego")+COUNTIFS('S2'!$B$6:$B$23,$A90,'S2'!$E$6:$E$23,"Ambos")+COUNTIFS('S3'!$B$6:$B$24,$A90,'S3'!$E$6:$E$24,"Diego")+COUNTIFS('S3'!$B$6:$B$24,$A90,'S3'!$E$6:$E$24,"Ambos")+COUNTIFS('S4'!$B$6:$B$22,$A90,'S4'!$E$6:$E$22,"Diego")+COUNTIFS('S4'!$B$6:$B$22,$A90,'S4'!$E$6:$E$22,"Ambos")+COUNTIFS('S5'!$B$6:$B$20,$A90,'S5'!$E$6:$E$20,"Diego")+COUNTIFS('S5'!$B$6:$B$20,$A90,'S5'!$E$6:$E$20,"Ambos")+COUNTIFS('S6'!$B$6:$B$17,$A90,'S6'!$E$6:$E$17,"Diego")+COUNTIFS('S6'!$B$6:$B$17,$A90,'S6'!$E$6:$E$17,"Ambos")+COUNTIFS('S7'!$B$6:$B$19,$A90,'S7'!$E$6:$E$19,"Diego")+COUNTIFS('S7'!$B$6:$B$19,$A90,'S7'!$E$6:$E$19,"Ambos")+COUNTIFS('S8'!$B$6:$B$23,$A90,'S8'!$E$6:$E$23,"Diego")+COUNTIFS('S8'!$B$6:$B$23,$A90,'S8'!$E$6:$E$23,"Ambos")+COUNTIFS('S9'!$B$6:$B$15,$A90,'S9'!$E$6:$E$15,"Diego")+COUNTIFS('S9'!$B$6:$B$15,$A90,'S9'!$E$6:$E$15,"Ambos")+COUNTIFS('S10'!$B$6:$B$13,$A90,'S10'!$E$6:$E$13,"Diego")+COUNTIFS('S10'!$B$6:$B$13,$A90,'S10'!$E$6:$E$13,"Ambos")+COUNTIFS('Holgura'!$B$6:$B$11,$A90,'Holgura'!$E$6:$E$11,"Diego")+COUNTIFS('Holgura'!$B$6:$B$11,$A90,'Holgura'!$E$6:$E$11,"Ambos")+COUNTIFS('Entrega'!$B$6:$B$9,$A90,'Entrega'!$E$6:$E$9,"Diego")+COUNTIFS('Entrega'!$B$6:$B$9,$A90,'Entrega'!$E$6:$E$9,"Ambos")+COUNTIFS('Defensa'!$B$6:$B$10,$A90,'Defensa'!$E$6:$E$10,"Diego")+COUNTIFS('Defensa'!$B$6:$B$10,$A90,'Defensa'!$E$6:$E$10,"Ambos")</f>
        <v/>
      </c>
    </row>
    <row r="91">
      <c r="A91" s="25" t="n">
        <v>46393</v>
      </c>
      <c r="B91" s="26">
        <f>A91</f>
        <v/>
      </c>
      <c r="C91" s="21">
        <f>IF(WEEKDAY(A91,2)&gt;5,4,2)</f>
        <v/>
      </c>
      <c r="D91" s="21">
        <f>SUMIFS('S1'!$I$6:$I$32,'S1'!$B$6:$B$32,$A91,'S1'!$E$6:$E$32,"Víctor")+SUMIFS('S1'!$I$6:$I$32,'S1'!$B$6:$B$32,$A91,'S1'!$E$6:$E$32,"Ambos")+SUMIFS('S2'!$I$6:$I$23,'S2'!$B$6:$B$23,$A91,'S2'!$E$6:$E$23,"Víctor")+SUMIFS('S2'!$I$6:$I$23,'S2'!$B$6:$B$23,$A91,'S2'!$E$6:$E$23,"Ambos")+SUMIFS('S3'!$I$6:$I$24,'S3'!$B$6:$B$24,$A91,'S3'!$E$6:$E$24,"Víctor")+SUMIFS('S3'!$I$6:$I$24,'S3'!$B$6:$B$24,$A91,'S3'!$E$6:$E$24,"Ambos")+SUMIFS('S4'!$I$6:$I$22,'S4'!$B$6:$B$22,$A91,'S4'!$E$6:$E$22,"Víctor")+SUMIFS('S4'!$I$6:$I$22,'S4'!$B$6:$B$22,$A91,'S4'!$E$6:$E$22,"Ambos")+SUMIFS('S5'!$I$6:$I$20,'S5'!$B$6:$B$20,$A91,'S5'!$E$6:$E$20,"Víctor")+SUMIFS('S5'!$I$6:$I$20,'S5'!$B$6:$B$20,$A91,'S5'!$E$6:$E$20,"Ambos")+SUMIFS('S6'!$I$6:$I$17,'S6'!$B$6:$B$17,$A91,'S6'!$E$6:$E$17,"Víctor")+SUMIFS('S6'!$I$6:$I$17,'S6'!$B$6:$B$17,$A91,'S6'!$E$6:$E$17,"Ambos")+SUMIFS('S7'!$I$6:$I$19,'S7'!$B$6:$B$19,$A91,'S7'!$E$6:$E$19,"Víctor")+SUMIFS('S7'!$I$6:$I$19,'S7'!$B$6:$B$19,$A91,'S7'!$E$6:$E$19,"Ambos")+SUMIFS('S8'!$I$6:$I$23,'S8'!$B$6:$B$23,$A91,'S8'!$E$6:$E$23,"Víctor")+SUMIFS('S8'!$I$6:$I$23,'S8'!$B$6:$B$23,$A91,'S8'!$E$6:$E$23,"Ambos")+SUMIFS('S9'!$I$6:$I$15,'S9'!$B$6:$B$15,$A91,'S9'!$E$6:$E$15,"Víctor")+SUMIFS('S9'!$I$6:$I$15,'S9'!$B$6:$B$15,$A91,'S9'!$E$6:$E$15,"Ambos")+SUMIFS('S10'!$I$6:$I$13,'S10'!$B$6:$B$13,$A91,'S10'!$E$6:$E$13,"Víctor")+SUMIFS('S10'!$I$6:$I$13,'S10'!$B$6:$B$13,$A91,'S10'!$E$6:$E$13,"Ambos")+SUMIFS('Holgura'!$I$6:$I$11,'Holgura'!$B$6:$B$11,$A91,'Holgura'!$E$6:$E$11,"Víctor")+SUMIFS('Holgura'!$I$6:$I$11,'Holgura'!$B$6:$B$11,$A91,'Holgura'!$E$6:$E$11,"Ambos")+SUMIFS('Entrega'!$I$6:$I$9,'Entrega'!$B$6:$B$9,$A91,'Entrega'!$E$6:$E$9,"Víctor")+SUMIFS('Entrega'!$I$6:$I$9,'Entrega'!$B$6:$B$9,$A91,'Entrega'!$E$6:$E$9,"Ambos")+SUMIFS('Defensa'!$I$6:$I$10,'Defensa'!$B$6:$B$10,$A91,'Defensa'!$E$6:$E$10,"Víctor")+SUMIFS('Defensa'!$I$6:$I$10,'Defensa'!$B$6:$B$10,$A91,'Defensa'!$E$6:$E$10,"Ambos")</f>
        <v/>
      </c>
      <c r="E91" s="21">
        <f>SUMIFS('S1'!$I$6:$I$32,'S1'!$B$6:$B$32,$A91,'S1'!$E$6:$E$32,"Diego")+SUMIFS('S1'!$I$6:$I$32,'S1'!$B$6:$B$32,$A91,'S1'!$E$6:$E$32,"Ambos")+SUMIFS('S2'!$I$6:$I$23,'S2'!$B$6:$B$23,$A91,'S2'!$E$6:$E$23,"Diego")+SUMIFS('S2'!$I$6:$I$23,'S2'!$B$6:$B$23,$A91,'S2'!$E$6:$E$23,"Ambos")+SUMIFS('S3'!$I$6:$I$24,'S3'!$B$6:$B$24,$A91,'S3'!$E$6:$E$24,"Diego")+SUMIFS('S3'!$I$6:$I$24,'S3'!$B$6:$B$24,$A91,'S3'!$E$6:$E$24,"Ambos")+SUMIFS('S4'!$I$6:$I$22,'S4'!$B$6:$B$22,$A91,'S4'!$E$6:$E$22,"Diego")+SUMIFS('S4'!$I$6:$I$22,'S4'!$B$6:$B$22,$A91,'S4'!$E$6:$E$22,"Ambos")+SUMIFS('S5'!$I$6:$I$20,'S5'!$B$6:$B$20,$A91,'S5'!$E$6:$E$20,"Diego")+SUMIFS('S5'!$I$6:$I$20,'S5'!$B$6:$B$20,$A91,'S5'!$E$6:$E$20,"Ambos")+SUMIFS('S6'!$I$6:$I$17,'S6'!$B$6:$B$17,$A91,'S6'!$E$6:$E$17,"Diego")+SUMIFS('S6'!$I$6:$I$17,'S6'!$B$6:$B$17,$A91,'S6'!$E$6:$E$17,"Ambos")+SUMIFS('S7'!$I$6:$I$19,'S7'!$B$6:$B$19,$A91,'S7'!$E$6:$E$19,"Diego")+SUMIFS('S7'!$I$6:$I$19,'S7'!$B$6:$B$19,$A91,'S7'!$E$6:$E$19,"Ambos")+SUMIFS('S8'!$I$6:$I$23,'S8'!$B$6:$B$23,$A91,'S8'!$E$6:$E$23,"Diego")+SUMIFS('S8'!$I$6:$I$23,'S8'!$B$6:$B$23,$A91,'S8'!$E$6:$E$23,"Ambos")+SUMIFS('S9'!$I$6:$I$15,'S9'!$B$6:$B$15,$A91,'S9'!$E$6:$E$15,"Diego")+SUMIFS('S9'!$I$6:$I$15,'S9'!$B$6:$B$15,$A91,'S9'!$E$6:$E$15,"Ambos")+SUMIFS('S10'!$I$6:$I$13,'S10'!$B$6:$B$13,$A91,'S10'!$E$6:$E$13,"Diego")+SUMIFS('S10'!$I$6:$I$13,'S10'!$B$6:$B$13,$A91,'S10'!$E$6:$E$13,"Ambos")+SUMIFS('Holgura'!$I$6:$I$11,'Holgura'!$B$6:$B$11,$A91,'Holgura'!$E$6:$E$11,"Diego")+SUMIFS('Holgura'!$I$6:$I$11,'Holgura'!$B$6:$B$11,$A91,'Holgura'!$E$6:$E$11,"Ambos")+SUMIFS('Entrega'!$I$6:$I$9,'Entrega'!$B$6:$B$9,$A91,'Entrega'!$E$6:$E$9,"Diego")+SUMIFS('Entrega'!$I$6:$I$9,'Entrega'!$B$6:$B$9,$A91,'Entrega'!$E$6:$E$9,"Ambos")+SUMIFS('Defensa'!$I$6:$I$10,'Defensa'!$B$6:$B$10,$A91,'Defensa'!$E$6:$E$10,"Diego")+SUMIFS('Defensa'!$I$6:$I$10,'Defensa'!$B$6:$B$10,$A91,'Defensa'!$E$6:$E$10,"Ambos")</f>
        <v/>
      </c>
      <c r="F91" s="21">
        <f>COUNTIFS('S1'!$B$6:$B$32,$A91,'S1'!$E$6:$E$32,"Víctor")+COUNTIFS('S1'!$B$6:$B$32,$A91,'S1'!$E$6:$E$32,"Ambos")+COUNTIFS('S2'!$B$6:$B$23,$A91,'S2'!$E$6:$E$23,"Víctor")+COUNTIFS('S2'!$B$6:$B$23,$A91,'S2'!$E$6:$E$23,"Ambos")+COUNTIFS('S3'!$B$6:$B$24,$A91,'S3'!$E$6:$E$24,"Víctor")+COUNTIFS('S3'!$B$6:$B$24,$A91,'S3'!$E$6:$E$24,"Ambos")+COUNTIFS('S4'!$B$6:$B$22,$A91,'S4'!$E$6:$E$22,"Víctor")+COUNTIFS('S4'!$B$6:$B$22,$A91,'S4'!$E$6:$E$22,"Ambos")+COUNTIFS('S5'!$B$6:$B$20,$A91,'S5'!$E$6:$E$20,"Víctor")+COUNTIFS('S5'!$B$6:$B$20,$A91,'S5'!$E$6:$E$20,"Ambos")+COUNTIFS('S6'!$B$6:$B$17,$A91,'S6'!$E$6:$E$17,"Víctor")+COUNTIFS('S6'!$B$6:$B$17,$A91,'S6'!$E$6:$E$17,"Ambos")+COUNTIFS('S7'!$B$6:$B$19,$A91,'S7'!$E$6:$E$19,"Víctor")+COUNTIFS('S7'!$B$6:$B$19,$A91,'S7'!$E$6:$E$19,"Ambos")+COUNTIFS('S8'!$B$6:$B$23,$A91,'S8'!$E$6:$E$23,"Víctor")+COUNTIFS('S8'!$B$6:$B$23,$A91,'S8'!$E$6:$E$23,"Ambos")+COUNTIFS('S9'!$B$6:$B$15,$A91,'S9'!$E$6:$E$15,"Víctor")+COUNTIFS('S9'!$B$6:$B$15,$A91,'S9'!$E$6:$E$15,"Ambos")+COUNTIFS('S10'!$B$6:$B$13,$A91,'S10'!$E$6:$E$13,"Víctor")+COUNTIFS('S10'!$B$6:$B$13,$A91,'S10'!$E$6:$E$13,"Ambos")+COUNTIFS('Holgura'!$B$6:$B$11,$A91,'Holgura'!$E$6:$E$11,"Víctor")+COUNTIFS('Holgura'!$B$6:$B$11,$A91,'Holgura'!$E$6:$E$11,"Ambos")+COUNTIFS('Entrega'!$B$6:$B$9,$A91,'Entrega'!$E$6:$E$9,"Víctor")+COUNTIFS('Entrega'!$B$6:$B$9,$A91,'Entrega'!$E$6:$E$9,"Ambos")+COUNTIFS('Defensa'!$B$6:$B$10,$A91,'Defensa'!$E$6:$E$10,"Víctor")+COUNTIFS('Defensa'!$B$6:$B$10,$A91,'Defensa'!$E$6:$E$10,"Ambos")</f>
        <v/>
      </c>
      <c r="G91" s="21">
        <f>COUNTIFS('S1'!$B$6:$B$32,$A91,'S1'!$E$6:$E$32,"Diego")+COUNTIFS('S1'!$B$6:$B$32,$A91,'S1'!$E$6:$E$32,"Ambos")+COUNTIFS('S2'!$B$6:$B$23,$A91,'S2'!$E$6:$E$23,"Diego")+COUNTIFS('S2'!$B$6:$B$23,$A91,'S2'!$E$6:$E$23,"Ambos")+COUNTIFS('S3'!$B$6:$B$24,$A91,'S3'!$E$6:$E$24,"Diego")+COUNTIFS('S3'!$B$6:$B$24,$A91,'S3'!$E$6:$E$24,"Ambos")+COUNTIFS('S4'!$B$6:$B$22,$A91,'S4'!$E$6:$E$22,"Diego")+COUNTIFS('S4'!$B$6:$B$22,$A91,'S4'!$E$6:$E$22,"Ambos")+COUNTIFS('S5'!$B$6:$B$20,$A91,'S5'!$E$6:$E$20,"Diego")+COUNTIFS('S5'!$B$6:$B$20,$A91,'S5'!$E$6:$E$20,"Ambos")+COUNTIFS('S6'!$B$6:$B$17,$A91,'S6'!$E$6:$E$17,"Diego")+COUNTIFS('S6'!$B$6:$B$17,$A91,'S6'!$E$6:$E$17,"Ambos")+COUNTIFS('S7'!$B$6:$B$19,$A91,'S7'!$E$6:$E$19,"Diego")+COUNTIFS('S7'!$B$6:$B$19,$A91,'S7'!$E$6:$E$19,"Ambos")+COUNTIFS('S8'!$B$6:$B$23,$A91,'S8'!$E$6:$E$23,"Diego")+COUNTIFS('S8'!$B$6:$B$23,$A91,'S8'!$E$6:$E$23,"Ambos")+COUNTIFS('S9'!$B$6:$B$15,$A91,'S9'!$E$6:$E$15,"Diego")+COUNTIFS('S9'!$B$6:$B$15,$A91,'S9'!$E$6:$E$15,"Ambos")+COUNTIFS('S10'!$B$6:$B$13,$A91,'S10'!$E$6:$E$13,"Diego")+COUNTIFS('S10'!$B$6:$B$13,$A91,'S10'!$E$6:$E$13,"Ambos")+COUNTIFS('Holgura'!$B$6:$B$11,$A91,'Holgura'!$E$6:$E$11,"Diego")+COUNTIFS('Holgura'!$B$6:$B$11,$A91,'Holgura'!$E$6:$E$11,"Ambos")+COUNTIFS('Entrega'!$B$6:$B$9,$A91,'Entrega'!$E$6:$E$9,"Diego")+COUNTIFS('Entrega'!$B$6:$B$9,$A91,'Entrega'!$E$6:$E$9,"Ambos")+COUNTIFS('Defensa'!$B$6:$B$10,$A91,'Defensa'!$E$6:$E$10,"Diego")+COUNTIFS('Defensa'!$B$6:$B$10,$A91,'Defensa'!$E$6:$E$10,"Ambos")</f>
        <v/>
      </c>
    </row>
    <row r="92">
      <c r="A92" s="25" t="n">
        <v>46394</v>
      </c>
      <c r="B92" s="26">
        <f>A92</f>
        <v/>
      </c>
      <c r="C92" s="21">
        <f>IF(WEEKDAY(A92,2)&gt;5,4,2)</f>
        <v/>
      </c>
      <c r="D92" s="21">
        <f>SUMIFS('S1'!$I$6:$I$32,'S1'!$B$6:$B$32,$A92,'S1'!$E$6:$E$32,"Víctor")+SUMIFS('S1'!$I$6:$I$32,'S1'!$B$6:$B$32,$A92,'S1'!$E$6:$E$32,"Ambos")+SUMIFS('S2'!$I$6:$I$23,'S2'!$B$6:$B$23,$A92,'S2'!$E$6:$E$23,"Víctor")+SUMIFS('S2'!$I$6:$I$23,'S2'!$B$6:$B$23,$A92,'S2'!$E$6:$E$23,"Ambos")+SUMIFS('S3'!$I$6:$I$24,'S3'!$B$6:$B$24,$A92,'S3'!$E$6:$E$24,"Víctor")+SUMIFS('S3'!$I$6:$I$24,'S3'!$B$6:$B$24,$A92,'S3'!$E$6:$E$24,"Ambos")+SUMIFS('S4'!$I$6:$I$22,'S4'!$B$6:$B$22,$A92,'S4'!$E$6:$E$22,"Víctor")+SUMIFS('S4'!$I$6:$I$22,'S4'!$B$6:$B$22,$A92,'S4'!$E$6:$E$22,"Ambos")+SUMIFS('S5'!$I$6:$I$20,'S5'!$B$6:$B$20,$A92,'S5'!$E$6:$E$20,"Víctor")+SUMIFS('S5'!$I$6:$I$20,'S5'!$B$6:$B$20,$A92,'S5'!$E$6:$E$20,"Ambos")+SUMIFS('S6'!$I$6:$I$17,'S6'!$B$6:$B$17,$A92,'S6'!$E$6:$E$17,"Víctor")+SUMIFS('S6'!$I$6:$I$17,'S6'!$B$6:$B$17,$A92,'S6'!$E$6:$E$17,"Ambos")+SUMIFS('S7'!$I$6:$I$19,'S7'!$B$6:$B$19,$A92,'S7'!$E$6:$E$19,"Víctor")+SUMIFS('S7'!$I$6:$I$19,'S7'!$B$6:$B$19,$A92,'S7'!$E$6:$E$19,"Ambos")+SUMIFS('S8'!$I$6:$I$23,'S8'!$B$6:$B$23,$A92,'S8'!$E$6:$E$23,"Víctor")+SUMIFS('S8'!$I$6:$I$23,'S8'!$B$6:$B$23,$A92,'S8'!$E$6:$E$23,"Ambos")+SUMIFS('S9'!$I$6:$I$15,'S9'!$B$6:$B$15,$A92,'S9'!$E$6:$E$15,"Víctor")+SUMIFS('S9'!$I$6:$I$15,'S9'!$B$6:$B$15,$A92,'S9'!$E$6:$E$15,"Ambos")+SUMIFS('S10'!$I$6:$I$13,'S10'!$B$6:$B$13,$A92,'S10'!$E$6:$E$13,"Víctor")+SUMIFS('S10'!$I$6:$I$13,'S10'!$B$6:$B$13,$A92,'S10'!$E$6:$E$13,"Ambos")+SUMIFS('Holgura'!$I$6:$I$11,'Holgura'!$B$6:$B$11,$A92,'Holgura'!$E$6:$E$11,"Víctor")+SUMIFS('Holgura'!$I$6:$I$11,'Holgura'!$B$6:$B$11,$A92,'Holgura'!$E$6:$E$11,"Ambos")+SUMIFS('Entrega'!$I$6:$I$9,'Entrega'!$B$6:$B$9,$A92,'Entrega'!$E$6:$E$9,"Víctor")+SUMIFS('Entrega'!$I$6:$I$9,'Entrega'!$B$6:$B$9,$A92,'Entrega'!$E$6:$E$9,"Ambos")+SUMIFS('Defensa'!$I$6:$I$10,'Defensa'!$B$6:$B$10,$A92,'Defensa'!$E$6:$E$10,"Víctor")+SUMIFS('Defensa'!$I$6:$I$10,'Defensa'!$B$6:$B$10,$A92,'Defensa'!$E$6:$E$10,"Ambos")</f>
        <v/>
      </c>
      <c r="E92" s="21">
        <f>SUMIFS('S1'!$I$6:$I$32,'S1'!$B$6:$B$32,$A92,'S1'!$E$6:$E$32,"Diego")+SUMIFS('S1'!$I$6:$I$32,'S1'!$B$6:$B$32,$A92,'S1'!$E$6:$E$32,"Ambos")+SUMIFS('S2'!$I$6:$I$23,'S2'!$B$6:$B$23,$A92,'S2'!$E$6:$E$23,"Diego")+SUMIFS('S2'!$I$6:$I$23,'S2'!$B$6:$B$23,$A92,'S2'!$E$6:$E$23,"Ambos")+SUMIFS('S3'!$I$6:$I$24,'S3'!$B$6:$B$24,$A92,'S3'!$E$6:$E$24,"Diego")+SUMIFS('S3'!$I$6:$I$24,'S3'!$B$6:$B$24,$A92,'S3'!$E$6:$E$24,"Ambos")+SUMIFS('S4'!$I$6:$I$22,'S4'!$B$6:$B$22,$A92,'S4'!$E$6:$E$22,"Diego")+SUMIFS('S4'!$I$6:$I$22,'S4'!$B$6:$B$22,$A92,'S4'!$E$6:$E$22,"Ambos")+SUMIFS('S5'!$I$6:$I$20,'S5'!$B$6:$B$20,$A92,'S5'!$E$6:$E$20,"Diego")+SUMIFS('S5'!$I$6:$I$20,'S5'!$B$6:$B$20,$A92,'S5'!$E$6:$E$20,"Ambos")+SUMIFS('S6'!$I$6:$I$17,'S6'!$B$6:$B$17,$A92,'S6'!$E$6:$E$17,"Diego")+SUMIFS('S6'!$I$6:$I$17,'S6'!$B$6:$B$17,$A92,'S6'!$E$6:$E$17,"Ambos")+SUMIFS('S7'!$I$6:$I$19,'S7'!$B$6:$B$19,$A92,'S7'!$E$6:$E$19,"Diego")+SUMIFS('S7'!$I$6:$I$19,'S7'!$B$6:$B$19,$A92,'S7'!$E$6:$E$19,"Ambos")+SUMIFS('S8'!$I$6:$I$23,'S8'!$B$6:$B$23,$A92,'S8'!$E$6:$E$23,"Diego")+SUMIFS('S8'!$I$6:$I$23,'S8'!$B$6:$B$23,$A92,'S8'!$E$6:$E$23,"Ambos")+SUMIFS('S9'!$I$6:$I$15,'S9'!$B$6:$B$15,$A92,'S9'!$E$6:$E$15,"Diego")+SUMIFS('S9'!$I$6:$I$15,'S9'!$B$6:$B$15,$A92,'S9'!$E$6:$E$15,"Ambos")+SUMIFS('S10'!$I$6:$I$13,'S10'!$B$6:$B$13,$A92,'S10'!$E$6:$E$13,"Diego")+SUMIFS('S10'!$I$6:$I$13,'S10'!$B$6:$B$13,$A92,'S10'!$E$6:$E$13,"Ambos")+SUMIFS('Holgura'!$I$6:$I$11,'Holgura'!$B$6:$B$11,$A92,'Holgura'!$E$6:$E$11,"Diego")+SUMIFS('Holgura'!$I$6:$I$11,'Holgura'!$B$6:$B$11,$A92,'Holgura'!$E$6:$E$11,"Ambos")+SUMIFS('Entrega'!$I$6:$I$9,'Entrega'!$B$6:$B$9,$A92,'Entrega'!$E$6:$E$9,"Diego")+SUMIFS('Entrega'!$I$6:$I$9,'Entrega'!$B$6:$B$9,$A92,'Entrega'!$E$6:$E$9,"Ambos")+SUMIFS('Defensa'!$I$6:$I$10,'Defensa'!$B$6:$B$10,$A92,'Defensa'!$E$6:$E$10,"Diego")+SUMIFS('Defensa'!$I$6:$I$10,'Defensa'!$B$6:$B$10,$A92,'Defensa'!$E$6:$E$10,"Ambos")</f>
        <v/>
      </c>
      <c r="F92" s="21">
        <f>COUNTIFS('S1'!$B$6:$B$32,$A92,'S1'!$E$6:$E$32,"Víctor")+COUNTIFS('S1'!$B$6:$B$32,$A92,'S1'!$E$6:$E$32,"Ambos")+COUNTIFS('S2'!$B$6:$B$23,$A92,'S2'!$E$6:$E$23,"Víctor")+COUNTIFS('S2'!$B$6:$B$23,$A92,'S2'!$E$6:$E$23,"Ambos")+COUNTIFS('S3'!$B$6:$B$24,$A92,'S3'!$E$6:$E$24,"Víctor")+COUNTIFS('S3'!$B$6:$B$24,$A92,'S3'!$E$6:$E$24,"Ambos")+COUNTIFS('S4'!$B$6:$B$22,$A92,'S4'!$E$6:$E$22,"Víctor")+COUNTIFS('S4'!$B$6:$B$22,$A92,'S4'!$E$6:$E$22,"Ambos")+COUNTIFS('S5'!$B$6:$B$20,$A92,'S5'!$E$6:$E$20,"Víctor")+COUNTIFS('S5'!$B$6:$B$20,$A92,'S5'!$E$6:$E$20,"Ambos")+COUNTIFS('S6'!$B$6:$B$17,$A92,'S6'!$E$6:$E$17,"Víctor")+COUNTIFS('S6'!$B$6:$B$17,$A92,'S6'!$E$6:$E$17,"Ambos")+COUNTIFS('S7'!$B$6:$B$19,$A92,'S7'!$E$6:$E$19,"Víctor")+COUNTIFS('S7'!$B$6:$B$19,$A92,'S7'!$E$6:$E$19,"Ambos")+COUNTIFS('S8'!$B$6:$B$23,$A92,'S8'!$E$6:$E$23,"Víctor")+COUNTIFS('S8'!$B$6:$B$23,$A92,'S8'!$E$6:$E$23,"Ambos")+COUNTIFS('S9'!$B$6:$B$15,$A92,'S9'!$E$6:$E$15,"Víctor")+COUNTIFS('S9'!$B$6:$B$15,$A92,'S9'!$E$6:$E$15,"Ambos")+COUNTIFS('S10'!$B$6:$B$13,$A92,'S10'!$E$6:$E$13,"Víctor")+COUNTIFS('S10'!$B$6:$B$13,$A92,'S10'!$E$6:$E$13,"Ambos")+COUNTIFS('Holgura'!$B$6:$B$11,$A92,'Holgura'!$E$6:$E$11,"Víctor")+COUNTIFS('Holgura'!$B$6:$B$11,$A92,'Holgura'!$E$6:$E$11,"Ambos")+COUNTIFS('Entrega'!$B$6:$B$9,$A92,'Entrega'!$E$6:$E$9,"Víctor")+COUNTIFS('Entrega'!$B$6:$B$9,$A92,'Entrega'!$E$6:$E$9,"Ambos")+COUNTIFS('Defensa'!$B$6:$B$10,$A92,'Defensa'!$E$6:$E$10,"Víctor")+COUNTIFS('Defensa'!$B$6:$B$10,$A92,'Defensa'!$E$6:$E$10,"Ambos")</f>
        <v/>
      </c>
      <c r="G92" s="21">
        <f>COUNTIFS('S1'!$B$6:$B$32,$A92,'S1'!$E$6:$E$32,"Diego")+COUNTIFS('S1'!$B$6:$B$32,$A92,'S1'!$E$6:$E$32,"Ambos")+COUNTIFS('S2'!$B$6:$B$23,$A92,'S2'!$E$6:$E$23,"Diego")+COUNTIFS('S2'!$B$6:$B$23,$A92,'S2'!$E$6:$E$23,"Ambos")+COUNTIFS('S3'!$B$6:$B$24,$A92,'S3'!$E$6:$E$24,"Diego")+COUNTIFS('S3'!$B$6:$B$24,$A92,'S3'!$E$6:$E$24,"Ambos")+COUNTIFS('S4'!$B$6:$B$22,$A92,'S4'!$E$6:$E$22,"Diego")+COUNTIFS('S4'!$B$6:$B$22,$A92,'S4'!$E$6:$E$22,"Ambos")+COUNTIFS('S5'!$B$6:$B$20,$A92,'S5'!$E$6:$E$20,"Diego")+COUNTIFS('S5'!$B$6:$B$20,$A92,'S5'!$E$6:$E$20,"Ambos")+COUNTIFS('S6'!$B$6:$B$17,$A92,'S6'!$E$6:$E$17,"Diego")+COUNTIFS('S6'!$B$6:$B$17,$A92,'S6'!$E$6:$E$17,"Ambos")+COUNTIFS('S7'!$B$6:$B$19,$A92,'S7'!$E$6:$E$19,"Diego")+COUNTIFS('S7'!$B$6:$B$19,$A92,'S7'!$E$6:$E$19,"Ambos")+COUNTIFS('S8'!$B$6:$B$23,$A92,'S8'!$E$6:$E$23,"Diego")+COUNTIFS('S8'!$B$6:$B$23,$A92,'S8'!$E$6:$E$23,"Ambos")+COUNTIFS('S9'!$B$6:$B$15,$A92,'S9'!$E$6:$E$15,"Diego")+COUNTIFS('S9'!$B$6:$B$15,$A92,'S9'!$E$6:$E$15,"Ambos")+COUNTIFS('S10'!$B$6:$B$13,$A92,'S10'!$E$6:$E$13,"Diego")+COUNTIFS('S10'!$B$6:$B$13,$A92,'S10'!$E$6:$E$13,"Ambos")+COUNTIFS('Holgura'!$B$6:$B$11,$A92,'Holgura'!$E$6:$E$11,"Diego")+COUNTIFS('Holgura'!$B$6:$B$11,$A92,'Holgura'!$E$6:$E$11,"Ambos")+COUNTIFS('Entrega'!$B$6:$B$9,$A92,'Entrega'!$E$6:$E$9,"Diego")+COUNTIFS('Entrega'!$B$6:$B$9,$A92,'Entrega'!$E$6:$E$9,"Ambos")+COUNTIFS('Defensa'!$B$6:$B$10,$A92,'Defensa'!$E$6:$E$10,"Diego")+COUNTIFS('Defensa'!$B$6:$B$10,$A92,'Defensa'!$E$6:$E$10,"Ambos")</f>
        <v/>
      </c>
    </row>
    <row r="93">
      <c r="A93" s="25" t="n">
        <v>46395</v>
      </c>
      <c r="B93" s="26">
        <f>A93</f>
        <v/>
      </c>
      <c r="C93" s="21">
        <f>IF(WEEKDAY(A93,2)&gt;5,4,2)</f>
        <v/>
      </c>
      <c r="D93" s="21">
        <f>SUMIFS('S1'!$I$6:$I$32,'S1'!$B$6:$B$32,$A93,'S1'!$E$6:$E$32,"Víctor")+SUMIFS('S1'!$I$6:$I$32,'S1'!$B$6:$B$32,$A93,'S1'!$E$6:$E$32,"Ambos")+SUMIFS('S2'!$I$6:$I$23,'S2'!$B$6:$B$23,$A93,'S2'!$E$6:$E$23,"Víctor")+SUMIFS('S2'!$I$6:$I$23,'S2'!$B$6:$B$23,$A93,'S2'!$E$6:$E$23,"Ambos")+SUMIFS('S3'!$I$6:$I$24,'S3'!$B$6:$B$24,$A93,'S3'!$E$6:$E$24,"Víctor")+SUMIFS('S3'!$I$6:$I$24,'S3'!$B$6:$B$24,$A93,'S3'!$E$6:$E$24,"Ambos")+SUMIFS('S4'!$I$6:$I$22,'S4'!$B$6:$B$22,$A93,'S4'!$E$6:$E$22,"Víctor")+SUMIFS('S4'!$I$6:$I$22,'S4'!$B$6:$B$22,$A93,'S4'!$E$6:$E$22,"Ambos")+SUMIFS('S5'!$I$6:$I$20,'S5'!$B$6:$B$20,$A93,'S5'!$E$6:$E$20,"Víctor")+SUMIFS('S5'!$I$6:$I$20,'S5'!$B$6:$B$20,$A93,'S5'!$E$6:$E$20,"Ambos")+SUMIFS('S6'!$I$6:$I$17,'S6'!$B$6:$B$17,$A93,'S6'!$E$6:$E$17,"Víctor")+SUMIFS('S6'!$I$6:$I$17,'S6'!$B$6:$B$17,$A93,'S6'!$E$6:$E$17,"Ambos")+SUMIFS('S7'!$I$6:$I$19,'S7'!$B$6:$B$19,$A93,'S7'!$E$6:$E$19,"Víctor")+SUMIFS('S7'!$I$6:$I$19,'S7'!$B$6:$B$19,$A93,'S7'!$E$6:$E$19,"Ambos")+SUMIFS('S8'!$I$6:$I$23,'S8'!$B$6:$B$23,$A93,'S8'!$E$6:$E$23,"Víctor")+SUMIFS('S8'!$I$6:$I$23,'S8'!$B$6:$B$23,$A93,'S8'!$E$6:$E$23,"Ambos")+SUMIFS('S9'!$I$6:$I$15,'S9'!$B$6:$B$15,$A93,'S9'!$E$6:$E$15,"Víctor")+SUMIFS('S9'!$I$6:$I$15,'S9'!$B$6:$B$15,$A93,'S9'!$E$6:$E$15,"Ambos")+SUMIFS('S10'!$I$6:$I$13,'S10'!$B$6:$B$13,$A93,'S10'!$E$6:$E$13,"Víctor")+SUMIFS('S10'!$I$6:$I$13,'S10'!$B$6:$B$13,$A93,'S10'!$E$6:$E$13,"Ambos")+SUMIFS('Holgura'!$I$6:$I$11,'Holgura'!$B$6:$B$11,$A93,'Holgura'!$E$6:$E$11,"Víctor")+SUMIFS('Holgura'!$I$6:$I$11,'Holgura'!$B$6:$B$11,$A93,'Holgura'!$E$6:$E$11,"Ambos")+SUMIFS('Entrega'!$I$6:$I$9,'Entrega'!$B$6:$B$9,$A93,'Entrega'!$E$6:$E$9,"Víctor")+SUMIFS('Entrega'!$I$6:$I$9,'Entrega'!$B$6:$B$9,$A93,'Entrega'!$E$6:$E$9,"Ambos")+SUMIFS('Defensa'!$I$6:$I$10,'Defensa'!$B$6:$B$10,$A93,'Defensa'!$E$6:$E$10,"Víctor")+SUMIFS('Defensa'!$I$6:$I$10,'Defensa'!$B$6:$B$10,$A93,'Defensa'!$E$6:$E$10,"Ambos")</f>
        <v/>
      </c>
      <c r="E93" s="21">
        <f>SUMIFS('S1'!$I$6:$I$32,'S1'!$B$6:$B$32,$A93,'S1'!$E$6:$E$32,"Diego")+SUMIFS('S1'!$I$6:$I$32,'S1'!$B$6:$B$32,$A93,'S1'!$E$6:$E$32,"Ambos")+SUMIFS('S2'!$I$6:$I$23,'S2'!$B$6:$B$23,$A93,'S2'!$E$6:$E$23,"Diego")+SUMIFS('S2'!$I$6:$I$23,'S2'!$B$6:$B$23,$A93,'S2'!$E$6:$E$23,"Ambos")+SUMIFS('S3'!$I$6:$I$24,'S3'!$B$6:$B$24,$A93,'S3'!$E$6:$E$24,"Diego")+SUMIFS('S3'!$I$6:$I$24,'S3'!$B$6:$B$24,$A93,'S3'!$E$6:$E$24,"Ambos")+SUMIFS('S4'!$I$6:$I$22,'S4'!$B$6:$B$22,$A93,'S4'!$E$6:$E$22,"Diego")+SUMIFS('S4'!$I$6:$I$22,'S4'!$B$6:$B$22,$A93,'S4'!$E$6:$E$22,"Ambos")+SUMIFS('S5'!$I$6:$I$20,'S5'!$B$6:$B$20,$A93,'S5'!$E$6:$E$20,"Diego")+SUMIFS('S5'!$I$6:$I$20,'S5'!$B$6:$B$20,$A93,'S5'!$E$6:$E$20,"Ambos")+SUMIFS('S6'!$I$6:$I$17,'S6'!$B$6:$B$17,$A93,'S6'!$E$6:$E$17,"Diego")+SUMIFS('S6'!$I$6:$I$17,'S6'!$B$6:$B$17,$A93,'S6'!$E$6:$E$17,"Ambos")+SUMIFS('S7'!$I$6:$I$19,'S7'!$B$6:$B$19,$A93,'S7'!$E$6:$E$19,"Diego")+SUMIFS('S7'!$I$6:$I$19,'S7'!$B$6:$B$19,$A93,'S7'!$E$6:$E$19,"Ambos")+SUMIFS('S8'!$I$6:$I$23,'S8'!$B$6:$B$23,$A93,'S8'!$E$6:$E$23,"Diego")+SUMIFS('S8'!$I$6:$I$23,'S8'!$B$6:$B$23,$A93,'S8'!$E$6:$E$23,"Ambos")+SUMIFS('S9'!$I$6:$I$15,'S9'!$B$6:$B$15,$A93,'S9'!$E$6:$E$15,"Diego")+SUMIFS('S9'!$I$6:$I$15,'S9'!$B$6:$B$15,$A93,'S9'!$E$6:$E$15,"Ambos")+SUMIFS('S10'!$I$6:$I$13,'S10'!$B$6:$B$13,$A93,'S10'!$E$6:$E$13,"Diego")+SUMIFS('S10'!$I$6:$I$13,'S10'!$B$6:$B$13,$A93,'S10'!$E$6:$E$13,"Ambos")+SUMIFS('Holgura'!$I$6:$I$11,'Holgura'!$B$6:$B$11,$A93,'Holgura'!$E$6:$E$11,"Diego")+SUMIFS('Holgura'!$I$6:$I$11,'Holgura'!$B$6:$B$11,$A93,'Holgura'!$E$6:$E$11,"Ambos")+SUMIFS('Entrega'!$I$6:$I$9,'Entrega'!$B$6:$B$9,$A93,'Entrega'!$E$6:$E$9,"Diego")+SUMIFS('Entrega'!$I$6:$I$9,'Entrega'!$B$6:$B$9,$A93,'Entrega'!$E$6:$E$9,"Ambos")+SUMIFS('Defensa'!$I$6:$I$10,'Defensa'!$B$6:$B$10,$A93,'Defensa'!$E$6:$E$10,"Diego")+SUMIFS('Defensa'!$I$6:$I$10,'Defensa'!$B$6:$B$10,$A93,'Defensa'!$E$6:$E$10,"Ambos")</f>
        <v/>
      </c>
      <c r="F93" s="21">
        <f>COUNTIFS('S1'!$B$6:$B$32,$A93,'S1'!$E$6:$E$32,"Víctor")+COUNTIFS('S1'!$B$6:$B$32,$A93,'S1'!$E$6:$E$32,"Ambos")+COUNTIFS('S2'!$B$6:$B$23,$A93,'S2'!$E$6:$E$23,"Víctor")+COUNTIFS('S2'!$B$6:$B$23,$A93,'S2'!$E$6:$E$23,"Ambos")+COUNTIFS('S3'!$B$6:$B$24,$A93,'S3'!$E$6:$E$24,"Víctor")+COUNTIFS('S3'!$B$6:$B$24,$A93,'S3'!$E$6:$E$24,"Ambos")+COUNTIFS('S4'!$B$6:$B$22,$A93,'S4'!$E$6:$E$22,"Víctor")+COUNTIFS('S4'!$B$6:$B$22,$A93,'S4'!$E$6:$E$22,"Ambos")+COUNTIFS('S5'!$B$6:$B$20,$A93,'S5'!$E$6:$E$20,"Víctor")+COUNTIFS('S5'!$B$6:$B$20,$A93,'S5'!$E$6:$E$20,"Ambos")+COUNTIFS('S6'!$B$6:$B$17,$A93,'S6'!$E$6:$E$17,"Víctor")+COUNTIFS('S6'!$B$6:$B$17,$A93,'S6'!$E$6:$E$17,"Ambos")+COUNTIFS('S7'!$B$6:$B$19,$A93,'S7'!$E$6:$E$19,"Víctor")+COUNTIFS('S7'!$B$6:$B$19,$A93,'S7'!$E$6:$E$19,"Ambos")+COUNTIFS('S8'!$B$6:$B$23,$A93,'S8'!$E$6:$E$23,"Víctor")+COUNTIFS('S8'!$B$6:$B$23,$A93,'S8'!$E$6:$E$23,"Ambos")+COUNTIFS('S9'!$B$6:$B$15,$A93,'S9'!$E$6:$E$15,"Víctor")+COUNTIFS('S9'!$B$6:$B$15,$A93,'S9'!$E$6:$E$15,"Ambos")+COUNTIFS('S10'!$B$6:$B$13,$A93,'S10'!$E$6:$E$13,"Víctor")+COUNTIFS('S10'!$B$6:$B$13,$A93,'S10'!$E$6:$E$13,"Ambos")+COUNTIFS('Holgura'!$B$6:$B$11,$A93,'Holgura'!$E$6:$E$11,"Víctor")+COUNTIFS('Holgura'!$B$6:$B$11,$A93,'Holgura'!$E$6:$E$11,"Ambos")+COUNTIFS('Entrega'!$B$6:$B$9,$A93,'Entrega'!$E$6:$E$9,"Víctor")+COUNTIFS('Entrega'!$B$6:$B$9,$A93,'Entrega'!$E$6:$E$9,"Ambos")+COUNTIFS('Defensa'!$B$6:$B$10,$A93,'Defensa'!$E$6:$E$10,"Víctor")+COUNTIFS('Defensa'!$B$6:$B$10,$A93,'Defensa'!$E$6:$E$10,"Ambos")</f>
        <v/>
      </c>
      <c r="G93" s="21">
        <f>COUNTIFS('S1'!$B$6:$B$32,$A93,'S1'!$E$6:$E$32,"Diego")+COUNTIFS('S1'!$B$6:$B$32,$A93,'S1'!$E$6:$E$32,"Ambos")+COUNTIFS('S2'!$B$6:$B$23,$A93,'S2'!$E$6:$E$23,"Diego")+COUNTIFS('S2'!$B$6:$B$23,$A93,'S2'!$E$6:$E$23,"Ambos")+COUNTIFS('S3'!$B$6:$B$24,$A93,'S3'!$E$6:$E$24,"Diego")+COUNTIFS('S3'!$B$6:$B$24,$A93,'S3'!$E$6:$E$24,"Ambos")+COUNTIFS('S4'!$B$6:$B$22,$A93,'S4'!$E$6:$E$22,"Diego")+COUNTIFS('S4'!$B$6:$B$22,$A93,'S4'!$E$6:$E$22,"Ambos")+COUNTIFS('S5'!$B$6:$B$20,$A93,'S5'!$E$6:$E$20,"Diego")+COUNTIFS('S5'!$B$6:$B$20,$A93,'S5'!$E$6:$E$20,"Ambos")+COUNTIFS('S6'!$B$6:$B$17,$A93,'S6'!$E$6:$E$17,"Diego")+COUNTIFS('S6'!$B$6:$B$17,$A93,'S6'!$E$6:$E$17,"Ambos")+COUNTIFS('S7'!$B$6:$B$19,$A93,'S7'!$E$6:$E$19,"Diego")+COUNTIFS('S7'!$B$6:$B$19,$A93,'S7'!$E$6:$E$19,"Ambos")+COUNTIFS('S8'!$B$6:$B$23,$A93,'S8'!$E$6:$E$23,"Diego")+COUNTIFS('S8'!$B$6:$B$23,$A93,'S8'!$E$6:$E$23,"Ambos")+COUNTIFS('S9'!$B$6:$B$15,$A93,'S9'!$E$6:$E$15,"Diego")+COUNTIFS('S9'!$B$6:$B$15,$A93,'S9'!$E$6:$E$15,"Ambos")+COUNTIFS('S10'!$B$6:$B$13,$A93,'S10'!$E$6:$E$13,"Diego")+COUNTIFS('S10'!$B$6:$B$13,$A93,'S10'!$E$6:$E$13,"Ambos")+COUNTIFS('Holgura'!$B$6:$B$11,$A93,'Holgura'!$E$6:$E$11,"Diego")+COUNTIFS('Holgura'!$B$6:$B$11,$A93,'Holgura'!$E$6:$E$11,"Ambos")+COUNTIFS('Entrega'!$B$6:$B$9,$A93,'Entrega'!$E$6:$E$9,"Diego")+COUNTIFS('Entrega'!$B$6:$B$9,$A93,'Entrega'!$E$6:$E$9,"Ambos")+COUNTIFS('Defensa'!$B$6:$B$10,$A93,'Defensa'!$E$6:$E$10,"Diego")+COUNTIFS('Defensa'!$B$6:$B$10,$A93,'Defensa'!$E$6:$E$10,"Ambos")</f>
        <v/>
      </c>
    </row>
    <row r="94">
      <c r="A94" s="25" t="n">
        <v>46396</v>
      </c>
      <c r="B94" s="26">
        <f>A94</f>
        <v/>
      </c>
      <c r="C94" s="21">
        <f>IF(WEEKDAY(A94,2)&gt;5,4,2)</f>
        <v/>
      </c>
      <c r="D94" s="21">
        <f>SUMIFS('S1'!$I$6:$I$32,'S1'!$B$6:$B$32,$A94,'S1'!$E$6:$E$32,"Víctor")+SUMIFS('S1'!$I$6:$I$32,'S1'!$B$6:$B$32,$A94,'S1'!$E$6:$E$32,"Ambos")+SUMIFS('S2'!$I$6:$I$23,'S2'!$B$6:$B$23,$A94,'S2'!$E$6:$E$23,"Víctor")+SUMIFS('S2'!$I$6:$I$23,'S2'!$B$6:$B$23,$A94,'S2'!$E$6:$E$23,"Ambos")+SUMIFS('S3'!$I$6:$I$24,'S3'!$B$6:$B$24,$A94,'S3'!$E$6:$E$24,"Víctor")+SUMIFS('S3'!$I$6:$I$24,'S3'!$B$6:$B$24,$A94,'S3'!$E$6:$E$24,"Ambos")+SUMIFS('S4'!$I$6:$I$22,'S4'!$B$6:$B$22,$A94,'S4'!$E$6:$E$22,"Víctor")+SUMIFS('S4'!$I$6:$I$22,'S4'!$B$6:$B$22,$A94,'S4'!$E$6:$E$22,"Ambos")+SUMIFS('S5'!$I$6:$I$20,'S5'!$B$6:$B$20,$A94,'S5'!$E$6:$E$20,"Víctor")+SUMIFS('S5'!$I$6:$I$20,'S5'!$B$6:$B$20,$A94,'S5'!$E$6:$E$20,"Ambos")+SUMIFS('S6'!$I$6:$I$17,'S6'!$B$6:$B$17,$A94,'S6'!$E$6:$E$17,"Víctor")+SUMIFS('S6'!$I$6:$I$17,'S6'!$B$6:$B$17,$A94,'S6'!$E$6:$E$17,"Ambos")+SUMIFS('S7'!$I$6:$I$19,'S7'!$B$6:$B$19,$A94,'S7'!$E$6:$E$19,"Víctor")+SUMIFS('S7'!$I$6:$I$19,'S7'!$B$6:$B$19,$A94,'S7'!$E$6:$E$19,"Ambos")+SUMIFS('S8'!$I$6:$I$23,'S8'!$B$6:$B$23,$A94,'S8'!$E$6:$E$23,"Víctor")+SUMIFS('S8'!$I$6:$I$23,'S8'!$B$6:$B$23,$A94,'S8'!$E$6:$E$23,"Ambos")+SUMIFS('S9'!$I$6:$I$15,'S9'!$B$6:$B$15,$A94,'S9'!$E$6:$E$15,"Víctor")+SUMIFS('S9'!$I$6:$I$15,'S9'!$B$6:$B$15,$A94,'S9'!$E$6:$E$15,"Ambos")+SUMIFS('S10'!$I$6:$I$13,'S10'!$B$6:$B$13,$A94,'S10'!$E$6:$E$13,"Víctor")+SUMIFS('S10'!$I$6:$I$13,'S10'!$B$6:$B$13,$A94,'S10'!$E$6:$E$13,"Ambos")+SUMIFS('Holgura'!$I$6:$I$11,'Holgura'!$B$6:$B$11,$A94,'Holgura'!$E$6:$E$11,"Víctor")+SUMIFS('Holgura'!$I$6:$I$11,'Holgura'!$B$6:$B$11,$A94,'Holgura'!$E$6:$E$11,"Ambos")+SUMIFS('Entrega'!$I$6:$I$9,'Entrega'!$B$6:$B$9,$A94,'Entrega'!$E$6:$E$9,"Víctor")+SUMIFS('Entrega'!$I$6:$I$9,'Entrega'!$B$6:$B$9,$A94,'Entrega'!$E$6:$E$9,"Ambos")+SUMIFS('Defensa'!$I$6:$I$10,'Defensa'!$B$6:$B$10,$A94,'Defensa'!$E$6:$E$10,"Víctor")+SUMIFS('Defensa'!$I$6:$I$10,'Defensa'!$B$6:$B$10,$A94,'Defensa'!$E$6:$E$10,"Ambos")</f>
        <v/>
      </c>
      <c r="E94" s="21">
        <f>SUMIFS('S1'!$I$6:$I$32,'S1'!$B$6:$B$32,$A94,'S1'!$E$6:$E$32,"Diego")+SUMIFS('S1'!$I$6:$I$32,'S1'!$B$6:$B$32,$A94,'S1'!$E$6:$E$32,"Ambos")+SUMIFS('S2'!$I$6:$I$23,'S2'!$B$6:$B$23,$A94,'S2'!$E$6:$E$23,"Diego")+SUMIFS('S2'!$I$6:$I$23,'S2'!$B$6:$B$23,$A94,'S2'!$E$6:$E$23,"Ambos")+SUMIFS('S3'!$I$6:$I$24,'S3'!$B$6:$B$24,$A94,'S3'!$E$6:$E$24,"Diego")+SUMIFS('S3'!$I$6:$I$24,'S3'!$B$6:$B$24,$A94,'S3'!$E$6:$E$24,"Ambos")+SUMIFS('S4'!$I$6:$I$22,'S4'!$B$6:$B$22,$A94,'S4'!$E$6:$E$22,"Diego")+SUMIFS('S4'!$I$6:$I$22,'S4'!$B$6:$B$22,$A94,'S4'!$E$6:$E$22,"Ambos")+SUMIFS('S5'!$I$6:$I$20,'S5'!$B$6:$B$20,$A94,'S5'!$E$6:$E$20,"Diego")+SUMIFS('S5'!$I$6:$I$20,'S5'!$B$6:$B$20,$A94,'S5'!$E$6:$E$20,"Ambos")+SUMIFS('S6'!$I$6:$I$17,'S6'!$B$6:$B$17,$A94,'S6'!$E$6:$E$17,"Diego")+SUMIFS('S6'!$I$6:$I$17,'S6'!$B$6:$B$17,$A94,'S6'!$E$6:$E$17,"Ambos")+SUMIFS('S7'!$I$6:$I$19,'S7'!$B$6:$B$19,$A94,'S7'!$E$6:$E$19,"Diego")+SUMIFS('S7'!$I$6:$I$19,'S7'!$B$6:$B$19,$A94,'S7'!$E$6:$E$19,"Ambos")+SUMIFS('S8'!$I$6:$I$23,'S8'!$B$6:$B$23,$A94,'S8'!$E$6:$E$23,"Diego")+SUMIFS('S8'!$I$6:$I$23,'S8'!$B$6:$B$23,$A94,'S8'!$E$6:$E$23,"Ambos")+SUMIFS('S9'!$I$6:$I$15,'S9'!$B$6:$B$15,$A94,'S9'!$E$6:$E$15,"Diego")+SUMIFS('S9'!$I$6:$I$15,'S9'!$B$6:$B$15,$A94,'S9'!$E$6:$E$15,"Ambos")+SUMIFS('S10'!$I$6:$I$13,'S10'!$B$6:$B$13,$A94,'S10'!$E$6:$E$13,"Diego")+SUMIFS('S10'!$I$6:$I$13,'S10'!$B$6:$B$13,$A94,'S10'!$E$6:$E$13,"Ambos")+SUMIFS('Holgura'!$I$6:$I$11,'Holgura'!$B$6:$B$11,$A94,'Holgura'!$E$6:$E$11,"Diego")+SUMIFS('Holgura'!$I$6:$I$11,'Holgura'!$B$6:$B$11,$A94,'Holgura'!$E$6:$E$11,"Ambos")+SUMIFS('Entrega'!$I$6:$I$9,'Entrega'!$B$6:$B$9,$A94,'Entrega'!$E$6:$E$9,"Diego")+SUMIFS('Entrega'!$I$6:$I$9,'Entrega'!$B$6:$B$9,$A94,'Entrega'!$E$6:$E$9,"Ambos")+SUMIFS('Defensa'!$I$6:$I$10,'Defensa'!$B$6:$B$10,$A94,'Defensa'!$E$6:$E$10,"Diego")+SUMIFS('Defensa'!$I$6:$I$10,'Defensa'!$B$6:$B$10,$A94,'Defensa'!$E$6:$E$10,"Ambos")</f>
        <v/>
      </c>
      <c r="F94" s="21">
        <f>COUNTIFS('S1'!$B$6:$B$32,$A94,'S1'!$E$6:$E$32,"Víctor")+COUNTIFS('S1'!$B$6:$B$32,$A94,'S1'!$E$6:$E$32,"Ambos")+COUNTIFS('S2'!$B$6:$B$23,$A94,'S2'!$E$6:$E$23,"Víctor")+COUNTIFS('S2'!$B$6:$B$23,$A94,'S2'!$E$6:$E$23,"Ambos")+COUNTIFS('S3'!$B$6:$B$24,$A94,'S3'!$E$6:$E$24,"Víctor")+COUNTIFS('S3'!$B$6:$B$24,$A94,'S3'!$E$6:$E$24,"Ambos")+COUNTIFS('S4'!$B$6:$B$22,$A94,'S4'!$E$6:$E$22,"Víctor")+COUNTIFS('S4'!$B$6:$B$22,$A94,'S4'!$E$6:$E$22,"Ambos")+COUNTIFS('S5'!$B$6:$B$20,$A94,'S5'!$E$6:$E$20,"Víctor")+COUNTIFS('S5'!$B$6:$B$20,$A94,'S5'!$E$6:$E$20,"Ambos")+COUNTIFS('S6'!$B$6:$B$17,$A94,'S6'!$E$6:$E$17,"Víctor")+COUNTIFS('S6'!$B$6:$B$17,$A94,'S6'!$E$6:$E$17,"Ambos")+COUNTIFS('S7'!$B$6:$B$19,$A94,'S7'!$E$6:$E$19,"Víctor")+COUNTIFS('S7'!$B$6:$B$19,$A94,'S7'!$E$6:$E$19,"Ambos")+COUNTIFS('S8'!$B$6:$B$23,$A94,'S8'!$E$6:$E$23,"Víctor")+COUNTIFS('S8'!$B$6:$B$23,$A94,'S8'!$E$6:$E$23,"Ambos")+COUNTIFS('S9'!$B$6:$B$15,$A94,'S9'!$E$6:$E$15,"Víctor")+COUNTIFS('S9'!$B$6:$B$15,$A94,'S9'!$E$6:$E$15,"Ambos")+COUNTIFS('S10'!$B$6:$B$13,$A94,'S10'!$E$6:$E$13,"Víctor")+COUNTIFS('S10'!$B$6:$B$13,$A94,'S10'!$E$6:$E$13,"Ambos")+COUNTIFS('Holgura'!$B$6:$B$11,$A94,'Holgura'!$E$6:$E$11,"Víctor")+COUNTIFS('Holgura'!$B$6:$B$11,$A94,'Holgura'!$E$6:$E$11,"Ambos")+COUNTIFS('Entrega'!$B$6:$B$9,$A94,'Entrega'!$E$6:$E$9,"Víctor")+COUNTIFS('Entrega'!$B$6:$B$9,$A94,'Entrega'!$E$6:$E$9,"Ambos")+COUNTIFS('Defensa'!$B$6:$B$10,$A94,'Defensa'!$E$6:$E$10,"Víctor")+COUNTIFS('Defensa'!$B$6:$B$10,$A94,'Defensa'!$E$6:$E$10,"Ambos")</f>
        <v/>
      </c>
      <c r="G94" s="21">
        <f>COUNTIFS('S1'!$B$6:$B$32,$A94,'S1'!$E$6:$E$32,"Diego")+COUNTIFS('S1'!$B$6:$B$32,$A94,'S1'!$E$6:$E$32,"Ambos")+COUNTIFS('S2'!$B$6:$B$23,$A94,'S2'!$E$6:$E$23,"Diego")+COUNTIFS('S2'!$B$6:$B$23,$A94,'S2'!$E$6:$E$23,"Ambos")+COUNTIFS('S3'!$B$6:$B$24,$A94,'S3'!$E$6:$E$24,"Diego")+COUNTIFS('S3'!$B$6:$B$24,$A94,'S3'!$E$6:$E$24,"Ambos")+COUNTIFS('S4'!$B$6:$B$22,$A94,'S4'!$E$6:$E$22,"Diego")+COUNTIFS('S4'!$B$6:$B$22,$A94,'S4'!$E$6:$E$22,"Ambos")+COUNTIFS('S5'!$B$6:$B$20,$A94,'S5'!$E$6:$E$20,"Diego")+COUNTIFS('S5'!$B$6:$B$20,$A94,'S5'!$E$6:$E$20,"Ambos")+COUNTIFS('S6'!$B$6:$B$17,$A94,'S6'!$E$6:$E$17,"Diego")+COUNTIFS('S6'!$B$6:$B$17,$A94,'S6'!$E$6:$E$17,"Ambos")+COUNTIFS('S7'!$B$6:$B$19,$A94,'S7'!$E$6:$E$19,"Diego")+COUNTIFS('S7'!$B$6:$B$19,$A94,'S7'!$E$6:$E$19,"Ambos")+COUNTIFS('S8'!$B$6:$B$23,$A94,'S8'!$E$6:$E$23,"Diego")+COUNTIFS('S8'!$B$6:$B$23,$A94,'S8'!$E$6:$E$23,"Ambos")+COUNTIFS('S9'!$B$6:$B$15,$A94,'S9'!$E$6:$E$15,"Diego")+COUNTIFS('S9'!$B$6:$B$15,$A94,'S9'!$E$6:$E$15,"Ambos")+COUNTIFS('S10'!$B$6:$B$13,$A94,'S10'!$E$6:$E$13,"Diego")+COUNTIFS('S10'!$B$6:$B$13,$A94,'S10'!$E$6:$E$13,"Ambos")+COUNTIFS('Holgura'!$B$6:$B$11,$A94,'Holgura'!$E$6:$E$11,"Diego")+COUNTIFS('Holgura'!$B$6:$B$11,$A94,'Holgura'!$E$6:$E$11,"Ambos")+COUNTIFS('Entrega'!$B$6:$B$9,$A94,'Entrega'!$E$6:$E$9,"Diego")+COUNTIFS('Entrega'!$B$6:$B$9,$A94,'Entrega'!$E$6:$E$9,"Ambos")+COUNTIFS('Defensa'!$B$6:$B$10,$A94,'Defensa'!$E$6:$E$10,"Diego")+COUNTIFS('Defensa'!$B$6:$B$10,$A94,'Defensa'!$E$6:$E$10,"Ambos")</f>
        <v/>
      </c>
    </row>
    <row r="95">
      <c r="A95" s="25" t="n">
        <v>46397</v>
      </c>
      <c r="B95" s="26">
        <f>A95</f>
        <v/>
      </c>
      <c r="C95" s="21">
        <f>IF(WEEKDAY(A95,2)&gt;5,4,2)</f>
        <v/>
      </c>
      <c r="D95" s="21">
        <f>SUMIFS('S1'!$I$6:$I$32,'S1'!$B$6:$B$32,$A95,'S1'!$E$6:$E$32,"Víctor")+SUMIFS('S1'!$I$6:$I$32,'S1'!$B$6:$B$32,$A95,'S1'!$E$6:$E$32,"Ambos")+SUMIFS('S2'!$I$6:$I$23,'S2'!$B$6:$B$23,$A95,'S2'!$E$6:$E$23,"Víctor")+SUMIFS('S2'!$I$6:$I$23,'S2'!$B$6:$B$23,$A95,'S2'!$E$6:$E$23,"Ambos")+SUMIFS('S3'!$I$6:$I$24,'S3'!$B$6:$B$24,$A95,'S3'!$E$6:$E$24,"Víctor")+SUMIFS('S3'!$I$6:$I$24,'S3'!$B$6:$B$24,$A95,'S3'!$E$6:$E$24,"Ambos")+SUMIFS('S4'!$I$6:$I$22,'S4'!$B$6:$B$22,$A95,'S4'!$E$6:$E$22,"Víctor")+SUMIFS('S4'!$I$6:$I$22,'S4'!$B$6:$B$22,$A95,'S4'!$E$6:$E$22,"Ambos")+SUMIFS('S5'!$I$6:$I$20,'S5'!$B$6:$B$20,$A95,'S5'!$E$6:$E$20,"Víctor")+SUMIFS('S5'!$I$6:$I$20,'S5'!$B$6:$B$20,$A95,'S5'!$E$6:$E$20,"Ambos")+SUMIFS('S6'!$I$6:$I$17,'S6'!$B$6:$B$17,$A95,'S6'!$E$6:$E$17,"Víctor")+SUMIFS('S6'!$I$6:$I$17,'S6'!$B$6:$B$17,$A95,'S6'!$E$6:$E$17,"Ambos")+SUMIFS('S7'!$I$6:$I$19,'S7'!$B$6:$B$19,$A95,'S7'!$E$6:$E$19,"Víctor")+SUMIFS('S7'!$I$6:$I$19,'S7'!$B$6:$B$19,$A95,'S7'!$E$6:$E$19,"Ambos")+SUMIFS('S8'!$I$6:$I$23,'S8'!$B$6:$B$23,$A95,'S8'!$E$6:$E$23,"Víctor")+SUMIFS('S8'!$I$6:$I$23,'S8'!$B$6:$B$23,$A95,'S8'!$E$6:$E$23,"Ambos")+SUMIFS('S9'!$I$6:$I$15,'S9'!$B$6:$B$15,$A95,'S9'!$E$6:$E$15,"Víctor")+SUMIFS('S9'!$I$6:$I$15,'S9'!$B$6:$B$15,$A95,'S9'!$E$6:$E$15,"Ambos")+SUMIFS('S10'!$I$6:$I$13,'S10'!$B$6:$B$13,$A95,'S10'!$E$6:$E$13,"Víctor")+SUMIFS('S10'!$I$6:$I$13,'S10'!$B$6:$B$13,$A95,'S10'!$E$6:$E$13,"Ambos")+SUMIFS('Holgura'!$I$6:$I$11,'Holgura'!$B$6:$B$11,$A95,'Holgura'!$E$6:$E$11,"Víctor")+SUMIFS('Holgura'!$I$6:$I$11,'Holgura'!$B$6:$B$11,$A95,'Holgura'!$E$6:$E$11,"Ambos")+SUMIFS('Entrega'!$I$6:$I$9,'Entrega'!$B$6:$B$9,$A95,'Entrega'!$E$6:$E$9,"Víctor")+SUMIFS('Entrega'!$I$6:$I$9,'Entrega'!$B$6:$B$9,$A95,'Entrega'!$E$6:$E$9,"Ambos")+SUMIFS('Defensa'!$I$6:$I$10,'Defensa'!$B$6:$B$10,$A95,'Defensa'!$E$6:$E$10,"Víctor")+SUMIFS('Defensa'!$I$6:$I$10,'Defensa'!$B$6:$B$10,$A95,'Defensa'!$E$6:$E$10,"Ambos")</f>
        <v/>
      </c>
      <c r="E95" s="21">
        <f>SUMIFS('S1'!$I$6:$I$32,'S1'!$B$6:$B$32,$A95,'S1'!$E$6:$E$32,"Diego")+SUMIFS('S1'!$I$6:$I$32,'S1'!$B$6:$B$32,$A95,'S1'!$E$6:$E$32,"Ambos")+SUMIFS('S2'!$I$6:$I$23,'S2'!$B$6:$B$23,$A95,'S2'!$E$6:$E$23,"Diego")+SUMIFS('S2'!$I$6:$I$23,'S2'!$B$6:$B$23,$A95,'S2'!$E$6:$E$23,"Ambos")+SUMIFS('S3'!$I$6:$I$24,'S3'!$B$6:$B$24,$A95,'S3'!$E$6:$E$24,"Diego")+SUMIFS('S3'!$I$6:$I$24,'S3'!$B$6:$B$24,$A95,'S3'!$E$6:$E$24,"Ambos")+SUMIFS('S4'!$I$6:$I$22,'S4'!$B$6:$B$22,$A95,'S4'!$E$6:$E$22,"Diego")+SUMIFS('S4'!$I$6:$I$22,'S4'!$B$6:$B$22,$A95,'S4'!$E$6:$E$22,"Ambos")+SUMIFS('S5'!$I$6:$I$20,'S5'!$B$6:$B$20,$A95,'S5'!$E$6:$E$20,"Diego")+SUMIFS('S5'!$I$6:$I$20,'S5'!$B$6:$B$20,$A95,'S5'!$E$6:$E$20,"Ambos")+SUMIFS('S6'!$I$6:$I$17,'S6'!$B$6:$B$17,$A95,'S6'!$E$6:$E$17,"Diego")+SUMIFS('S6'!$I$6:$I$17,'S6'!$B$6:$B$17,$A95,'S6'!$E$6:$E$17,"Ambos")+SUMIFS('S7'!$I$6:$I$19,'S7'!$B$6:$B$19,$A95,'S7'!$E$6:$E$19,"Diego")+SUMIFS('S7'!$I$6:$I$19,'S7'!$B$6:$B$19,$A95,'S7'!$E$6:$E$19,"Ambos")+SUMIFS('S8'!$I$6:$I$23,'S8'!$B$6:$B$23,$A95,'S8'!$E$6:$E$23,"Diego")+SUMIFS('S8'!$I$6:$I$23,'S8'!$B$6:$B$23,$A95,'S8'!$E$6:$E$23,"Ambos")+SUMIFS('S9'!$I$6:$I$15,'S9'!$B$6:$B$15,$A95,'S9'!$E$6:$E$15,"Diego")+SUMIFS('S9'!$I$6:$I$15,'S9'!$B$6:$B$15,$A95,'S9'!$E$6:$E$15,"Ambos")+SUMIFS('S10'!$I$6:$I$13,'S10'!$B$6:$B$13,$A95,'S10'!$E$6:$E$13,"Diego")+SUMIFS('S10'!$I$6:$I$13,'S10'!$B$6:$B$13,$A95,'S10'!$E$6:$E$13,"Ambos")+SUMIFS('Holgura'!$I$6:$I$11,'Holgura'!$B$6:$B$11,$A95,'Holgura'!$E$6:$E$11,"Diego")+SUMIFS('Holgura'!$I$6:$I$11,'Holgura'!$B$6:$B$11,$A95,'Holgura'!$E$6:$E$11,"Ambos")+SUMIFS('Entrega'!$I$6:$I$9,'Entrega'!$B$6:$B$9,$A95,'Entrega'!$E$6:$E$9,"Diego")+SUMIFS('Entrega'!$I$6:$I$9,'Entrega'!$B$6:$B$9,$A95,'Entrega'!$E$6:$E$9,"Ambos")+SUMIFS('Defensa'!$I$6:$I$10,'Defensa'!$B$6:$B$10,$A95,'Defensa'!$E$6:$E$10,"Diego")+SUMIFS('Defensa'!$I$6:$I$10,'Defensa'!$B$6:$B$10,$A95,'Defensa'!$E$6:$E$10,"Ambos")</f>
        <v/>
      </c>
      <c r="F95" s="21">
        <f>COUNTIFS('S1'!$B$6:$B$32,$A95,'S1'!$E$6:$E$32,"Víctor")+COUNTIFS('S1'!$B$6:$B$32,$A95,'S1'!$E$6:$E$32,"Ambos")+COUNTIFS('S2'!$B$6:$B$23,$A95,'S2'!$E$6:$E$23,"Víctor")+COUNTIFS('S2'!$B$6:$B$23,$A95,'S2'!$E$6:$E$23,"Ambos")+COUNTIFS('S3'!$B$6:$B$24,$A95,'S3'!$E$6:$E$24,"Víctor")+COUNTIFS('S3'!$B$6:$B$24,$A95,'S3'!$E$6:$E$24,"Ambos")+COUNTIFS('S4'!$B$6:$B$22,$A95,'S4'!$E$6:$E$22,"Víctor")+COUNTIFS('S4'!$B$6:$B$22,$A95,'S4'!$E$6:$E$22,"Ambos")+COUNTIFS('S5'!$B$6:$B$20,$A95,'S5'!$E$6:$E$20,"Víctor")+COUNTIFS('S5'!$B$6:$B$20,$A95,'S5'!$E$6:$E$20,"Ambos")+COUNTIFS('S6'!$B$6:$B$17,$A95,'S6'!$E$6:$E$17,"Víctor")+COUNTIFS('S6'!$B$6:$B$17,$A95,'S6'!$E$6:$E$17,"Ambos")+COUNTIFS('S7'!$B$6:$B$19,$A95,'S7'!$E$6:$E$19,"Víctor")+COUNTIFS('S7'!$B$6:$B$19,$A95,'S7'!$E$6:$E$19,"Ambos")+COUNTIFS('S8'!$B$6:$B$23,$A95,'S8'!$E$6:$E$23,"Víctor")+COUNTIFS('S8'!$B$6:$B$23,$A95,'S8'!$E$6:$E$23,"Ambos")+COUNTIFS('S9'!$B$6:$B$15,$A95,'S9'!$E$6:$E$15,"Víctor")+COUNTIFS('S9'!$B$6:$B$15,$A95,'S9'!$E$6:$E$15,"Ambos")+COUNTIFS('S10'!$B$6:$B$13,$A95,'S10'!$E$6:$E$13,"Víctor")+COUNTIFS('S10'!$B$6:$B$13,$A95,'S10'!$E$6:$E$13,"Ambos")+COUNTIFS('Holgura'!$B$6:$B$11,$A95,'Holgura'!$E$6:$E$11,"Víctor")+COUNTIFS('Holgura'!$B$6:$B$11,$A95,'Holgura'!$E$6:$E$11,"Ambos")+COUNTIFS('Entrega'!$B$6:$B$9,$A95,'Entrega'!$E$6:$E$9,"Víctor")+COUNTIFS('Entrega'!$B$6:$B$9,$A95,'Entrega'!$E$6:$E$9,"Ambos")+COUNTIFS('Defensa'!$B$6:$B$10,$A95,'Defensa'!$E$6:$E$10,"Víctor")+COUNTIFS('Defensa'!$B$6:$B$10,$A95,'Defensa'!$E$6:$E$10,"Ambos")</f>
        <v/>
      </c>
      <c r="G95" s="21">
        <f>COUNTIFS('S1'!$B$6:$B$32,$A95,'S1'!$E$6:$E$32,"Diego")+COUNTIFS('S1'!$B$6:$B$32,$A95,'S1'!$E$6:$E$32,"Ambos")+COUNTIFS('S2'!$B$6:$B$23,$A95,'S2'!$E$6:$E$23,"Diego")+COUNTIFS('S2'!$B$6:$B$23,$A95,'S2'!$E$6:$E$23,"Ambos")+COUNTIFS('S3'!$B$6:$B$24,$A95,'S3'!$E$6:$E$24,"Diego")+COUNTIFS('S3'!$B$6:$B$24,$A95,'S3'!$E$6:$E$24,"Ambos")+COUNTIFS('S4'!$B$6:$B$22,$A95,'S4'!$E$6:$E$22,"Diego")+COUNTIFS('S4'!$B$6:$B$22,$A95,'S4'!$E$6:$E$22,"Ambos")+COUNTIFS('S5'!$B$6:$B$20,$A95,'S5'!$E$6:$E$20,"Diego")+COUNTIFS('S5'!$B$6:$B$20,$A95,'S5'!$E$6:$E$20,"Ambos")+COUNTIFS('S6'!$B$6:$B$17,$A95,'S6'!$E$6:$E$17,"Diego")+COUNTIFS('S6'!$B$6:$B$17,$A95,'S6'!$E$6:$E$17,"Ambos")+COUNTIFS('S7'!$B$6:$B$19,$A95,'S7'!$E$6:$E$19,"Diego")+COUNTIFS('S7'!$B$6:$B$19,$A95,'S7'!$E$6:$E$19,"Ambos")+COUNTIFS('S8'!$B$6:$B$23,$A95,'S8'!$E$6:$E$23,"Diego")+COUNTIFS('S8'!$B$6:$B$23,$A95,'S8'!$E$6:$E$23,"Ambos")+COUNTIFS('S9'!$B$6:$B$15,$A95,'S9'!$E$6:$E$15,"Diego")+COUNTIFS('S9'!$B$6:$B$15,$A95,'S9'!$E$6:$E$15,"Ambos")+COUNTIFS('S10'!$B$6:$B$13,$A95,'S10'!$E$6:$E$13,"Diego")+COUNTIFS('S10'!$B$6:$B$13,$A95,'S10'!$E$6:$E$13,"Ambos")+COUNTIFS('Holgura'!$B$6:$B$11,$A95,'Holgura'!$E$6:$E$11,"Diego")+COUNTIFS('Holgura'!$B$6:$B$11,$A95,'Holgura'!$E$6:$E$11,"Ambos")+COUNTIFS('Entrega'!$B$6:$B$9,$A95,'Entrega'!$E$6:$E$9,"Diego")+COUNTIFS('Entrega'!$B$6:$B$9,$A95,'Entrega'!$E$6:$E$9,"Ambos")+COUNTIFS('Defensa'!$B$6:$B$10,$A95,'Defensa'!$E$6:$E$10,"Diego")+COUNTIFS('Defensa'!$B$6:$B$10,$A95,'Defensa'!$E$6:$E$10,"Ambos")</f>
        <v/>
      </c>
    </row>
    <row r="96">
      <c r="A96" s="25" t="n">
        <v>46398</v>
      </c>
      <c r="B96" s="26">
        <f>A96</f>
        <v/>
      </c>
      <c r="C96" s="21">
        <f>IF(WEEKDAY(A96,2)&gt;5,4,2)</f>
        <v/>
      </c>
      <c r="D96" s="21">
        <f>SUMIFS('S1'!$I$6:$I$32,'S1'!$B$6:$B$32,$A96,'S1'!$E$6:$E$32,"Víctor")+SUMIFS('S1'!$I$6:$I$32,'S1'!$B$6:$B$32,$A96,'S1'!$E$6:$E$32,"Ambos")+SUMIFS('S2'!$I$6:$I$23,'S2'!$B$6:$B$23,$A96,'S2'!$E$6:$E$23,"Víctor")+SUMIFS('S2'!$I$6:$I$23,'S2'!$B$6:$B$23,$A96,'S2'!$E$6:$E$23,"Ambos")+SUMIFS('S3'!$I$6:$I$24,'S3'!$B$6:$B$24,$A96,'S3'!$E$6:$E$24,"Víctor")+SUMIFS('S3'!$I$6:$I$24,'S3'!$B$6:$B$24,$A96,'S3'!$E$6:$E$24,"Ambos")+SUMIFS('S4'!$I$6:$I$22,'S4'!$B$6:$B$22,$A96,'S4'!$E$6:$E$22,"Víctor")+SUMIFS('S4'!$I$6:$I$22,'S4'!$B$6:$B$22,$A96,'S4'!$E$6:$E$22,"Ambos")+SUMIFS('S5'!$I$6:$I$20,'S5'!$B$6:$B$20,$A96,'S5'!$E$6:$E$20,"Víctor")+SUMIFS('S5'!$I$6:$I$20,'S5'!$B$6:$B$20,$A96,'S5'!$E$6:$E$20,"Ambos")+SUMIFS('S6'!$I$6:$I$17,'S6'!$B$6:$B$17,$A96,'S6'!$E$6:$E$17,"Víctor")+SUMIFS('S6'!$I$6:$I$17,'S6'!$B$6:$B$17,$A96,'S6'!$E$6:$E$17,"Ambos")+SUMIFS('S7'!$I$6:$I$19,'S7'!$B$6:$B$19,$A96,'S7'!$E$6:$E$19,"Víctor")+SUMIFS('S7'!$I$6:$I$19,'S7'!$B$6:$B$19,$A96,'S7'!$E$6:$E$19,"Ambos")+SUMIFS('S8'!$I$6:$I$23,'S8'!$B$6:$B$23,$A96,'S8'!$E$6:$E$23,"Víctor")+SUMIFS('S8'!$I$6:$I$23,'S8'!$B$6:$B$23,$A96,'S8'!$E$6:$E$23,"Ambos")+SUMIFS('S9'!$I$6:$I$15,'S9'!$B$6:$B$15,$A96,'S9'!$E$6:$E$15,"Víctor")+SUMIFS('S9'!$I$6:$I$15,'S9'!$B$6:$B$15,$A96,'S9'!$E$6:$E$15,"Ambos")+SUMIFS('S10'!$I$6:$I$13,'S10'!$B$6:$B$13,$A96,'S10'!$E$6:$E$13,"Víctor")+SUMIFS('S10'!$I$6:$I$13,'S10'!$B$6:$B$13,$A96,'S10'!$E$6:$E$13,"Ambos")+SUMIFS('Holgura'!$I$6:$I$11,'Holgura'!$B$6:$B$11,$A96,'Holgura'!$E$6:$E$11,"Víctor")+SUMIFS('Holgura'!$I$6:$I$11,'Holgura'!$B$6:$B$11,$A96,'Holgura'!$E$6:$E$11,"Ambos")+SUMIFS('Entrega'!$I$6:$I$9,'Entrega'!$B$6:$B$9,$A96,'Entrega'!$E$6:$E$9,"Víctor")+SUMIFS('Entrega'!$I$6:$I$9,'Entrega'!$B$6:$B$9,$A96,'Entrega'!$E$6:$E$9,"Ambos")+SUMIFS('Defensa'!$I$6:$I$10,'Defensa'!$B$6:$B$10,$A96,'Defensa'!$E$6:$E$10,"Víctor")+SUMIFS('Defensa'!$I$6:$I$10,'Defensa'!$B$6:$B$10,$A96,'Defensa'!$E$6:$E$10,"Ambos")</f>
        <v/>
      </c>
      <c r="E96" s="21">
        <f>SUMIFS('S1'!$I$6:$I$32,'S1'!$B$6:$B$32,$A96,'S1'!$E$6:$E$32,"Diego")+SUMIFS('S1'!$I$6:$I$32,'S1'!$B$6:$B$32,$A96,'S1'!$E$6:$E$32,"Ambos")+SUMIFS('S2'!$I$6:$I$23,'S2'!$B$6:$B$23,$A96,'S2'!$E$6:$E$23,"Diego")+SUMIFS('S2'!$I$6:$I$23,'S2'!$B$6:$B$23,$A96,'S2'!$E$6:$E$23,"Ambos")+SUMIFS('S3'!$I$6:$I$24,'S3'!$B$6:$B$24,$A96,'S3'!$E$6:$E$24,"Diego")+SUMIFS('S3'!$I$6:$I$24,'S3'!$B$6:$B$24,$A96,'S3'!$E$6:$E$24,"Ambos")+SUMIFS('S4'!$I$6:$I$22,'S4'!$B$6:$B$22,$A96,'S4'!$E$6:$E$22,"Diego")+SUMIFS('S4'!$I$6:$I$22,'S4'!$B$6:$B$22,$A96,'S4'!$E$6:$E$22,"Ambos")+SUMIFS('S5'!$I$6:$I$20,'S5'!$B$6:$B$20,$A96,'S5'!$E$6:$E$20,"Diego")+SUMIFS('S5'!$I$6:$I$20,'S5'!$B$6:$B$20,$A96,'S5'!$E$6:$E$20,"Ambos")+SUMIFS('S6'!$I$6:$I$17,'S6'!$B$6:$B$17,$A96,'S6'!$E$6:$E$17,"Diego")+SUMIFS('S6'!$I$6:$I$17,'S6'!$B$6:$B$17,$A96,'S6'!$E$6:$E$17,"Ambos")+SUMIFS('S7'!$I$6:$I$19,'S7'!$B$6:$B$19,$A96,'S7'!$E$6:$E$19,"Diego")+SUMIFS('S7'!$I$6:$I$19,'S7'!$B$6:$B$19,$A96,'S7'!$E$6:$E$19,"Ambos")+SUMIFS('S8'!$I$6:$I$23,'S8'!$B$6:$B$23,$A96,'S8'!$E$6:$E$23,"Diego")+SUMIFS('S8'!$I$6:$I$23,'S8'!$B$6:$B$23,$A96,'S8'!$E$6:$E$23,"Ambos")+SUMIFS('S9'!$I$6:$I$15,'S9'!$B$6:$B$15,$A96,'S9'!$E$6:$E$15,"Diego")+SUMIFS('S9'!$I$6:$I$15,'S9'!$B$6:$B$15,$A96,'S9'!$E$6:$E$15,"Ambos")+SUMIFS('S10'!$I$6:$I$13,'S10'!$B$6:$B$13,$A96,'S10'!$E$6:$E$13,"Diego")+SUMIFS('S10'!$I$6:$I$13,'S10'!$B$6:$B$13,$A96,'S10'!$E$6:$E$13,"Ambos")+SUMIFS('Holgura'!$I$6:$I$11,'Holgura'!$B$6:$B$11,$A96,'Holgura'!$E$6:$E$11,"Diego")+SUMIFS('Holgura'!$I$6:$I$11,'Holgura'!$B$6:$B$11,$A96,'Holgura'!$E$6:$E$11,"Ambos")+SUMIFS('Entrega'!$I$6:$I$9,'Entrega'!$B$6:$B$9,$A96,'Entrega'!$E$6:$E$9,"Diego")+SUMIFS('Entrega'!$I$6:$I$9,'Entrega'!$B$6:$B$9,$A96,'Entrega'!$E$6:$E$9,"Ambos")+SUMIFS('Defensa'!$I$6:$I$10,'Defensa'!$B$6:$B$10,$A96,'Defensa'!$E$6:$E$10,"Diego")+SUMIFS('Defensa'!$I$6:$I$10,'Defensa'!$B$6:$B$10,$A96,'Defensa'!$E$6:$E$10,"Ambos")</f>
        <v/>
      </c>
      <c r="F96" s="21">
        <f>COUNTIFS('S1'!$B$6:$B$32,$A96,'S1'!$E$6:$E$32,"Víctor")+COUNTIFS('S1'!$B$6:$B$32,$A96,'S1'!$E$6:$E$32,"Ambos")+COUNTIFS('S2'!$B$6:$B$23,$A96,'S2'!$E$6:$E$23,"Víctor")+COUNTIFS('S2'!$B$6:$B$23,$A96,'S2'!$E$6:$E$23,"Ambos")+COUNTIFS('S3'!$B$6:$B$24,$A96,'S3'!$E$6:$E$24,"Víctor")+COUNTIFS('S3'!$B$6:$B$24,$A96,'S3'!$E$6:$E$24,"Ambos")+COUNTIFS('S4'!$B$6:$B$22,$A96,'S4'!$E$6:$E$22,"Víctor")+COUNTIFS('S4'!$B$6:$B$22,$A96,'S4'!$E$6:$E$22,"Ambos")+COUNTIFS('S5'!$B$6:$B$20,$A96,'S5'!$E$6:$E$20,"Víctor")+COUNTIFS('S5'!$B$6:$B$20,$A96,'S5'!$E$6:$E$20,"Ambos")+COUNTIFS('S6'!$B$6:$B$17,$A96,'S6'!$E$6:$E$17,"Víctor")+COUNTIFS('S6'!$B$6:$B$17,$A96,'S6'!$E$6:$E$17,"Ambos")+COUNTIFS('S7'!$B$6:$B$19,$A96,'S7'!$E$6:$E$19,"Víctor")+COUNTIFS('S7'!$B$6:$B$19,$A96,'S7'!$E$6:$E$19,"Ambos")+COUNTIFS('S8'!$B$6:$B$23,$A96,'S8'!$E$6:$E$23,"Víctor")+COUNTIFS('S8'!$B$6:$B$23,$A96,'S8'!$E$6:$E$23,"Ambos")+COUNTIFS('S9'!$B$6:$B$15,$A96,'S9'!$E$6:$E$15,"Víctor")+COUNTIFS('S9'!$B$6:$B$15,$A96,'S9'!$E$6:$E$15,"Ambos")+COUNTIFS('S10'!$B$6:$B$13,$A96,'S10'!$E$6:$E$13,"Víctor")+COUNTIFS('S10'!$B$6:$B$13,$A96,'S10'!$E$6:$E$13,"Ambos")+COUNTIFS('Holgura'!$B$6:$B$11,$A96,'Holgura'!$E$6:$E$11,"Víctor")+COUNTIFS('Holgura'!$B$6:$B$11,$A96,'Holgura'!$E$6:$E$11,"Ambos")+COUNTIFS('Entrega'!$B$6:$B$9,$A96,'Entrega'!$E$6:$E$9,"Víctor")+COUNTIFS('Entrega'!$B$6:$B$9,$A96,'Entrega'!$E$6:$E$9,"Ambos")+COUNTIFS('Defensa'!$B$6:$B$10,$A96,'Defensa'!$E$6:$E$10,"Víctor")+COUNTIFS('Defensa'!$B$6:$B$10,$A96,'Defensa'!$E$6:$E$10,"Ambos")</f>
        <v/>
      </c>
      <c r="G96" s="21">
        <f>COUNTIFS('S1'!$B$6:$B$32,$A96,'S1'!$E$6:$E$32,"Diego")+COUNTIFS('S1'!$B$6:$B$32,$A96,'S1'!$E$6:$E$32,"Ambos")+COUNTIFS('S2'!$B$6:$B$23,$A96,'S2'!$E$6:$E$23,"Diego")+COUNTIFS('S2'!$B$6:$B$23,$A96,'S2'!$E$6:$E$23,"Ambos")+COUNTIFS('S3'!$B$6:$B$24,$A96,'S3'!$E$6:$E$24,"Diego")+COUNTIFS('S3'!$B$6:$B$24,$A96,'S3'!$E$6:$E$24,"Ambos")+COUNTIFS('S4'!$B$6:$B$22,$A96,'S4'!$E$6:$E$22,"Diego")+COUNTIFS('S4'!$B$6:$B$22,$A96,'S4'!$E$6:$E$22,"Ambos")+COUNTIFS('S5'!$B$6:$B$20,$A96,'S5'!$E$6:$E$20,"Diego")+COUNTIFS('S5'!$B$6:$B$20,$A96,'S5'!$E$6:$E$20,"Ambos")+COUNTIFS('S6'!$B$6:$B$17,$A96,'S6'!$E$6:$E$17,"Diego")+COUNTIFS('S6'!$B$6:$B$17,$A96,'S6'!$E$6:$E$17,"Ambos")+COUNTIFS('S7'!$B$6:$B$19,$A96,'S7'!$E$6:$E$19,"Diego")+COUNTIFS('S7'!$B$6:$B$19,$A96,'S7'!$E$6:$E$19,"Ambos")+COUNTIFS('S8'!$B$6:$B$23,$A96,'S8'!$E$6:$E$23,"Diego")+COUNTIFS('S8'!$B$6:$B$23,$A96,'S8'!$E$6:$E$23,"Ambos")+COUNTIFS('S9'!$B$6:$B$15,$A96,'S9'!$E$6:$E$15,"Diego")+COUNTIFS('S9'!$B$6:$B$15,$A96,'S9'!$E$6:$E$15,"Ambos")+COUNTIFS('S10'!$B$6:$B$13,$A96,'S10'!$E$6:$E$13,"Diego")+COUNTIFS('S10'!$B$6:$B$13,$A96,'S10'!$E$6:$E$13,"Ambos")+COUNTIFS('Holgura'!$B$6:$B$11,$A96,'Holgura'!$E$6:$E$11,"Diego")+COUNTIFS('Holgura'!$B$6:$B$11,$A96,'Holgura'!$E$6:$E$11,"Ambos")+COUNTIFS('Entrega'!$B$6:$B$9,$A96,'Entrega'!$E$6:$E$9,"Diego")+COUNTIFS('Entrega'!$B$6:$B$9,$A96,'Entrega'!$E$6:$E$9,"Ambos")+COUNTIFS('Defensa'!$B$6:$B$10,$A96,'Defensa'!$E$6:$E$10,"Diego")+COUNTIFS('Defensa'!$B$6:$B$10,$A96,'Defensa'!$E$6:$E$10,"Ambos")</f>
        <v/>
      </c>
    </row>
    <row r="97">
      <c r="A97" s="25" t="n">
        <v>46399</v>
      </c>
      <c r="B97" s="26">
        <f>A97</f>
        <v/>
      </c>
      <c r="C97" s="21">
        <f>IF(WEEKDAY(A97,2)&gt;5,4,2)</f>
        <v/>
      </c>
      <c r="D97" s="21">
        <f>SUMIFS('S1'!$I$6:$I$32,'S1'!$B$6:$B$32,$A97,'S1'!$E$6:$E$32,"Víctor")+SUMIFS('S1'!$I$6:$I$32,'S1'!$B$6:$B$32,$A97,'S1'!$E$6:$E$32,"Ambos")+SUMIFS('S2'!$I$6:$I$23,'S2'!$B$6:$B$23,$A97,'S2'!$E$6:$E$23,"Víctor")+SUMIFS('S2'!$I$6:$I$23,'S2'!$B$6:$B$23,$A97,'S2'!$E$6:$E$23,"Ambos")+SUMIFS('S3'!$I$6:$I$24,'S3'!$B$6:$B$24,$A97,'S3'!$E$6:$E$24,"Víctor")+SUMIFS('S3'!$I$6:$I$24,'S3'!$B$6:$B$24,$A97,'S3'!$E$6:$E$24,"Ambos")+SUMIFS('S4'!$I$6:$I$22,'S4'!$B$6:$B$22,$A97,'S4'!$E$6:$E$22,"Víctor")+SUMIFS('S4'!$I$6:$I$22,'S4'!$B$6:$B$22,$A97,'S4'!$E$6:$E$22,"Ambos")+SUMIFS('S5'!$I$6:$I$20,'S5'!$B$6:$B$20,$A97,'S5'!$E$6:$E$20,"Víctor")+SUMIFS('S5'!$I$6:$I$20,'S5'!$B$6:$B$20,$A97,'S5'!$E$6:$E$20,"Ambos")+SUMIFS('S6'!$I$6:$I$17,'S6'!$B$6:$B$17,$A97,'S6'!$E$6:$E$17,"Víctor")+SUMIFS('S6'!$I$6:$I$17,'S6'!$B$6:$B$17,$A97,'S6'!$E$6:$E$17,"Ambos")+SUMIFS('S7'!$I$6:$I$19,'S7'!$B$6:$B$19,$A97,'S7'!$E$6:$E$19,"Víctor")+SUMIFS('S7'!$I$6:$I$19,'S7'!$B$6:$B$19,$A97,'S7'!$E$6:$E$19,"Ambos")+SUMIFS('S8'!$I$6:$I$23,'S8'!$B$6:$B$23,$A97,'S8'!$E$6:$E$23,"Víctor")+SUMIFS('S8'!$I$6:$I$23,'S8'!$B$6:$B$23,$A97,'S8'!$E$6:$E$23,"Ambos")+SUMIFS('S9'!$I$6:$I$15,'S9'!$B$6:$B$15,$A97,'S9'!$E$6:$E$15,"Víctor")+SUMIFS('S9'!$I$6:$I$15,'S9'!$B$6:$B$15,$A97,'S9'!$E$6:$E$15,"Ambos")+SUMIFS('S10'!$I$6:$I$13,'S10'!$B$6:$B$13,$A97,'S10'!$E$6:$E$13,"Víctor")+SUMIFS('S10'!$I$6:$I$13,'S10'!$B$6:$B$13,$A97,'S10'!$E$6:$E$13,"Ambos")+SUMIFS('Holgura'!$I$6:$I$11,'Holgura'!$B$6:$B$11,$A97,'Holgura'!$E$6:$E$11,"Víctor")+SUMIFS('Holgura'!$I$6:$I$11,'Holgura'!$B$6:$B$11,$A97,'Holgura'!$E$6:$E$11,"Ambos")+SUMIFS('Entrega'!$I$6:$I$9,'Entrega'!$B$6:$B$9,$A97,'Entrega'!$E$6:$E$9,"Víctor")+SUMIFS('Entrega'!$I$6:$I$9,'Entrega'!$B$6:$B$9,$A97,'Entrega'!$E$6:$E$9,"Ambos")+SUMIFS('Defensa'!$I$6:$I$10,'Defensa'!$B$6:$B$10,$A97,'Defensa'!$E$6:$E$10,"Víctor")+SUMIFS('Defensa'!$I$6:$I$10,'Defensa'!$B$6:$B$10,$A97,'Defensa'!$E$6:$E$10,"Ambos")</f>
        <v/>
      </c>
      <c r="E97" s="21">
        <f>SUMIFS('S1'!$I$6:$I$32,'S1'!$B$6:$B$32,$A97,'S1'!$E$6:$E$32,"Diego")+SUMIFS('S1'!$I$6:$I$32,'S1'!$B$6:$B$32,$A97,'S1'!$E$6:$E$32,"Ambos")+SUMIFS('S2'!$I$6:$I$23,'S2'!$B$6:$B$23,$A97,'S2'!$E$6:$E$23,"Diego")+SUMIFS('S2'!$I$6:$I$23,'S2'!$B$6:$B$23,$A97,'S2'!$E$6:$E$23,"Ambos")+SUMIFS('S3'!$I$6:$I$24,'S3'!$B$6:$B$24,$A97,'S3'!$E$6:$E$24,"Diego")+SUMIFS('S3'!$I$6:$I$24,'S3'!$B$6:$B$24,$A97,'S3'!$E$6:$E$24,"Ambos")+SUMIFS('S4'!$I$6:$I$22,'S4'!$B$6:$B$22,$A97,'S4'!$E$6:$E$22,"Diego")+SUMIFS('S4'!$I$6:$I$22,'S4'!$B$6:$B$22,$A97,'S4'!$E$6:$E$22,"Ambos")+SUMIFS('S5'!$I$6:$I$20,'S5'!$B$6:$B$20,$A97,'S5'!$E$6:$E$20,"Diego")+SUMIFS('S5'!$I$6:$I$20,'S5'!$B$6:$B$20,$A97,'S5'!$E$6:$E$20,"Ambos")+SUMIFS('S6'!$I$6:$I$17,'S6'!$B$6:$B$17,$A97,'S6'!$E$6:$E$17,"Diego")+SUMIFS('S6'!$I$6:$I$17,'S6'!$B$6:$B$17,$A97,'S6'!$E$6:$E$17,"Ambos")+SUMIFS('S7'!$I$6:$I$19,'S7'!$B$6:$B$19,$A97,'S7'!$E$6:$E$19,"Diego")+SUMIFS('S7'!$I$6:$I$19,'S7'!$B$6:$B$19,$A97,'S7'!$E$6:$E$19,"Ambos")+SUMIFS('S8'!$I$6:$I$23,'S8'!$B$6:$B$23,$A97,'S8'!$E$6:$E$23,"Diego")+SUMIFS('S8'!$I$6:$I$23,'S8'!$B$6:$B$23,$A97,'S8'!$E$6:$E$23,"Ambos")+SUMIFS('S9'!$I$6:$I$15,'S9'!$B$6:$B$15,$A97,'S9'!$E$6:$E$15,"Diego")+SUMIFS('S9'!$I$6:$I$15,'S9'!$B$6:$B$15,$A97,'S9'!$E$6:$E$15,"Ambos")+SUMIFS('S10'!$I$6:$I$13,'S10'!$B$6:$B$13,$A97,'S10'!$E$6:$E$13,"Diego")+SUMIFS('S10'!$I$6:$I$13,'S10'!$B$6:$B$13,$A97,'S10'!$E$6:$E$13,"Ambos")+SUMIFS('Holgura'!$I$6:$I$11,'Holgura'!$B$6:$B$11,$A97,'Holgura'!$E$6:$E$11,"Diego")+SUMIFS('Holgura'!$I$6:$I$11,'Holgura'!$B$6:$B$11,$A97,'Holgura'!$E$6:$E$11,"Ambos")+SUMIFS('Entrega'!$I$6:$I$9,'Entrega'!$B$6:$B$9,$A97,'Entrega'!$E$6:$E$9,"Diego")+SUMIFS('Entrega'!$I$6:$I$9,'Entrega'!$B$6:$B$9,$A97,'Entrega'!$E$6:$E$9,"Ambos")+SUMIFS('Defensa'!$I$6:$I$10,'Defensa'!$B$6:$B$10,$A97,'Defensa'!$E$6:$E$10,"Diego")+SUMIFS('Defensa'!$I$6:$I$10,'Defensa'!$B$6:$B$10,$A97,'Defensa'!$E$6:$E$10,"Ambos")</f>
        <v/>
      </c>
      <c r="F97" s="21">
        <f>COUNTIFS('S1'!$B$6:$B$32,$A97,'S1'!$E$6:$E$32,"Víctor")+COUNTIFS('S1'!$B$6:$B$32,$A97,'S1'!$E$6:$E$32,"Ambos")+COUNTIFS('S2'!$B$6:$B$23,$A97,'S2'!$E$6:$E$23,"Víctor")+COUNTIFS('S2'!$B$6:$B$23,$A97,'S2'!$E$6:$E$23,"Ambos")+COUNTIFS('S3'!$B$6:$B$24,$A97,'S3'!$E$6:$E$24,"Víctor")+COUNTIFS('S3'!$B$6:$B$24,$A97,'S3'!$E$6:$E$24,"Ambos")+COUNTIFS('S4'!$B$6:$B$22,$A97,'S4'!$E$6:$E$22,"Víctor")+COUNTIFS('S4'!$B$6:$B$22,$A97,'S4'!$E$6:$E$22,"Ambos")+COUNTIFS('S5'!$B$6:$B$20,$A97,'S5'!$E$6:$E$20,"Víctor")+COUNTIFS('S5'!$B$6:$B$20,$A97,'S5'!$E$6:$E$20,"Ambos")+COUNTIFS('S6'!$B$6:$B$17,$A97,'S6'!$E$6:$E$17,"Víctor")+COUNTIFS('S6'!$B$6:$B$17,$A97,'S6'!$E$6:$E$17,"Ambos")+COUNTIFS('S7'!$B$6:$B$19,$A97,'S7'!$E$6:$E$19,"Víctor")+COUNTIFS('S7'!$B$6:$B$19,$A97,'S7'!$E$6:$E$19,"Ambos")+COUNTIFS('S8'!$B$6:$B$23,$A97,'S8'!$E$6:$E$23,"Víctor")+COUNTIFS('S8'!$B$6:$B$23,$A97,'S8'!$E$6:$E$23,"Ambos")+COUNTIFS('S9'!$B$6:$B$15,$A97,'S9'!$E$6:$E$15,"Víctor")+COUNTIFS('S9'!$B$6:$B$15,$A97,'S9'!$E$6:$E$15,"Ambos")+COUNTIFS('S10'!$B$6:$B$13,$A97,'S10'!$E$6:$E$13,"Víctor")+COUNTIFS('S10'!$B$6:$B$13,$A97,'S10'!$E$6:$E$13,"Ambos")+COUNTIFS('Holgura'!$B$6:$B$11,$A97,'Holgura'!$E$6:$E$11,"Víctor")+COUNTIFS('Holgura'!$B$6:$B$11,$A97,'Holgura'!$E$6:$E$11,"Ambos")+COUNTIFS('Entrega'!$B$6:$B$9,$A97,'Entrega'!$E$6:$E$9,"Víctor")+COUNTIFS('Entrega'!$B$6:$B$9,$A97,'Entrega'!$E$6:$E$9,"Ambos")+COUNTIFS('Defensa'!$B$6:$B$10,$A97,'Defensa'!$E$6:$E$10,"Víctor")+COUNTIFS('Defensa'!$B$6:$B$10,$A97,'Defensa'!$E$6:$E$10,"Ambos")</f>
        <v/>
      </c>
      <c r="G97" s="21">
        <f>COUNTIFS('S1'!$B$6:$B$32,$A97,'S1'!$E$6:$E$32,"Diego")+COUNTIFS('S1'!$B$6:$B$32,$A97,'S1'!$E$6:$E$32,"Ambos")+COUNTIFS('S2'!$B$6:$B$23,$A97,'S2'!$E$6:$E$23,"Diego")+COUNTIFS('S2'!$B$6:$B$23,$A97,'S2'!$E$6:$E$23,"Ambos")+COUNTIFS('S3'!$B$6:$B$24,$A97,'S3'!$E$6:$E$24,"Diego")+COUNTIFS('S3'!$B$6:$B$24,$A97,'S3'!$E$6:$E$24,"Ambos")+COUNTIFS('S4'!$B$6:$B$22,$A97,'S4'!$E$6:$E$22,"Diego")+COUNTIFS('S4'!$B$6:$B$22,$A97,'S4'!$E$6:$E$22,"Ambos")+COUNTIFS('S5'!$B$6:$B$20,$A97,'S5'!$E$6:$E$20,"Diego")+COUNTIFS('S5'!$B$6:$B$20,$A97,'S5'!$E$6:$E$20,"Ambos")+COUNTIFS('S6'!$B$6:$B$17,$A97,'S6'!$E$6:$E$17,"Diego")+COUNTIFS('S6'!$B$6:$B$17,$A97,'S6'!$E$6:$E$17,"Ambos")+COUNTIFS('S7'!$B$6:$B$19,$A97,'S7'!$E$6:$E$19,"Diego")+COUNTIFS('S7'!$B$6:$B$19,$A97,'S7'!$E$6:$E$19,"Ambos")+COUNTIFS('S8'!$B$6:$B$23,$A97,'S8'!$E$6:$E$23,"Diego")+COUNTIFS('S8'!$B$6:$B$23,$A97,'S8'!$E$6:$E$23,"Ambos")+COUNTIFS('S9'!$B$6:$B$15,$A97,'S9'!$E$6:$E$15,"Diego")+COUNTIFS('S9'!$B$6:$B$15,$A97,'S9'!$E$6:$E$15,"Ambos")+COUNTIFS('S10'!$B$6:$B$13,$A97,'S10'!$E$6:$E$13,"Diego")+COUNTIFS('S10'!$B$6:$B$13,$A97,'S10'!$E$6:$E$13,"Ambos")+COUNTIFS('Holgura'!$B$6:$B$11,$A97,'Holgura'!$E$6:$E$11,"Diego")+COUNTIFS('Holgura'!$B$6:$B$11,$A97,'Holgura'!$E$6:$E$11,"Ambos")+COUNTIFS('Entrega'!$B$6:$B$9,$A97,'Entrega'!$E$6:$E$9,"Diego")+COUNTIFS('Entrega'!$B$6:$B$9,$A97,'Entrega'!$E$6:$E$9,"Ambos")+COUNTIFS('Defensa'!$B$6:$B$10,$A97,'Defensa'!$E$6:$E$10,"Diego")+COUNTIFS('Defensa'!$B$6:$B$10,$A97,'Defensa'!$E$6:$E$10,"Ambos")</f>
        <v/>
      </c>
    </row>
    <row r="98">
      <c r="A98" s="25" t="n">
        <v>46400</v>
      </c>
      <c r="B98" s="26">
        <f>A98</f>
        <v/>
      </c>
      <c r="C98" s="21">
        <f>IF(WEEKDAY(A98,2)&gt;5,4,2)</f>
        <v/>
      </c>
      <c r="D98" s="21">
        <f>SUMIFS('S1'!$I$6:$I$32,'S1'!$B$6:$B$32,$A98,'S1'!$E$6:$E$32,"Víctor")+SUMIFS('S1'!$I$6:$I$32,'S1'!$B$6:$B$32,$A98,'S1'!$E$6:$E$32,"Ambos")+SUMIFS('S2'!$I$6:$I$23,'S2'!$B$6:$B$23,$A98,'S2'!$E$6:$E$23,"Víctor")+SUMIFS('S2'!$I$6:$I$23,'S2'!$B$6:$B$23,$A98,'S2'!$E$6:$E$23,"Ambos")+SUMIFS('S3'!$I$6:$I$24,'S3'!$B$6:$B$24,$A98,'S3'!$E$6:$E$24,"Víctor")+SUMIFS('S3'!$I$6:$I$24,'S3'!$B$6:$B$24,$A98,'S3'!$E$6:$E$24,"Ambos")+SUMIFS('S4'!$I$6:$I$22,'S4'!$B$6:$B$22,$A98,'S4'!$E$6:$E$22,"Víctor")+SUMIFS('S4'!$I$6:$I$22,'S4'!$B$6:$B$22,$A98,'S4'!$E$6:$E$22,"Ambos")+SUMIFS('S5'!$I$6:$I$20,'S5'!$B$6:$B$20,$A98,'S5'!$E$6:$E$20,"Víctor")+SUMIFS('S5'!$I$6:$I$20,'S5'!$B$6:$B$20,$A98,'S5'!$E$6:$E$20,"Ambos")+SUMIFS('S6'!$I$6:$I$17,'S6'!$B$6:$B$17,$A98,'S6'!$E$6:$E$17,"Víctor")+SUMIFS('S6'!$I$6:$I$17,'S6'!$B$6:$B$17,$A98,'S6'!$E$6:$E$17,"Ambos")+SUMIFS('S7'!$I$6:$I$19,'S7'!$B$6:$B$19,$A98,'S7'!$E$6:$E$19,"Víctor")+SUMIFS('S7'!$I$6:$I$19,'S7'!$B$6:$B$19,$A98,'S7'!$E$6:$E$19,"Ambos")+SUMIFS('S8'!$I$6:$I$23,'S8'!$B$6:$B$23,$A98,'S8'!$E$6:$E$23,"Víctor")+SUMIFS('S8'!$I$6:$I$23,'S8'!$B$6:$B$23,$A98,'S8'!$E$6:$E$23,"Ambos")+SUMIFS('S9'!$I$6:$I$15,'S9'!$B$6:$B$15,$A98,'S9'!$E$6:$E$15,"Víctor")+SUMIFS('S9'!$I$6:$I$15,'S9'!$B$6:$B$15,$A98,'S9'!$E$6:$E$15,"Ambos")+SUMIFS('S10'!$I$6:$I$13,'S10'!$B$6:$B$13,$A98,'S10'!$E$6:$E$13,"Víctor")+SUMIFS('S10'!$I$6:$I$13,'S10'!$B$6:$B$13,$A98,'S10'!$E$6:$E$13,"Ambos")+SUMIFS('Holgura'!$I$6:$I$11,'Holgura'!$B$6:$B$11,$A98,'Holgura'!$E$6:$E$11,"Víctor")+SUMIFS('Holgura'!$I$6:$I$11,'Holgura'!$B$6:$B$11,$A98,'Holgura'!$E$6:$E$11,"Ambos")+SUMIFS('Entrega'!$I$6:$I$9,'Entrega'!$B$6:$B$9,$A98,'Entrega'!$E$6:$E$9,"Víctor")+SUMIFS('Entrega'!$I$6:$I$9,'Entrega'!$B$6:$B$9,$A98,'Entrega'!$E$6:$E$9,"Ambos")+SUMIFS('Defensa'!$I$6:$I$10,'Defensa'!$B$6:$B$10,$A98,'Defensa'!$E$6:$E$10,"Víctor")+SUMIFS('Defensa'!$I$6:$I$10,'Defensa'!$B$6:$B$10,$A98,'Defensa'!$E$6:$E$10,"Ambos")</f>
        <v/>
      </c>
      <c r="E98" s="21">
        <f>SUMIFS('S1'!$I$6:$I$32,'S1'!$B$6:$B$32,$A98,'S1'!$E$6:$E$32,"Diego")+SUMIFS('S1'!$I$6:$I$32,'S1'!$B$6:$B$32,$A98,'S1'!$E$6:$E$32,"Ambos")+SUMIFS('S2'!$I$6:$I$23,'S2'!$B$6:$B$23,$A98,'S2'!$E$6:$E$23,"Diego")+SUMIFS('S2'!$I$6:$I$23,'S2'!$B$6:$B$23,$A98,'S2'!$E$6:$E$23,"Ambos")+SUMIFS('S3'!$I$6:$I$24,'S3'!$B$6:$B$24,$A98,'S3'!$E$6:$E$24,"Diego")+SUMIFS('S3'!$I$6:$I$24,'S3'!$B$6:$B$24,$A98,'S3'!$E$6:$E$24,"Ambos")+SUMIFS('S4'!$I$6:$I$22,'S4'!$B$6:$B$22,$A98,'S4'!$E$6:$E$22,"Diego")+SUMIFS('S4'!$I$6:$I$22,'S4'!$B$6:$B$22,$A98,'S4'!$E$6:$E$22,"Ambos")+SUMIFS('S5'!$I$6:$I$20,'S5'!$B$6:$B$20,$A98,'S5'!$E$6:$E$20,"Diego")+SUMIFS('S5'!$I$6:$I$20,'S5'!$B$6:$B$20,$A98,'S5'!$E$6:$E$20,"Ambos")+SUMIFS('S6'!$I$6:$I$17,'S6'!$B$6:$B$17,$A98,'S6'!$E$6:$E$17,"Diego")+SUMIFS('S6'!$I$6:$I$17,'S6'!$B$6:$B$17,$A98,'S6'!$E$6:$E$17,"Ambos")+SUMIFS('S7'!$I$6:$I$19,'S7'!$B$6:$B$19,$A98,'S7'!$E$6:$E$19,"Diego")+SUMIFS('S7'!$I$6:$I$19,'S7'!$B$6:$B$19,$A98,'S7'!$E$6:$E$19,"Ambos")+SUMIFS('S8'!$I$6:$I$23,'S8'!$B$6:$B$23,$A98,'S8'!$E$6:$E$23,"Diego")+SUMIFS('S8'!$I$6:$I$23,'S8'!$B$6:$B$23,$A98,'S8'!$E$6:$E$23,"Ambos")+SUMIFS('S9'!$I$6:$I$15,'S9'!$B$6:$B$15,$A98,'S9'!$E$6:$E$15,"Diego")+SUMIFS('S9'!$I$6:$I$15,'S9'!$B$6:$B$15,$A98,'S9'!$E$6:$E$15,"Ambos")+SUMIFS('S10'!$I$6:$I$13,'S10'!$B$6:$B$13,$A98,'S10'!$E$6:$E$13,"Diego")+SUMIFS('S10'!$I$6:$I$13,'S10'!$B$6:$B$13,$A98,'S10'!$E$6:$E$13,"Ambos")+SUMIFS('Holgura'!$I$6:$I$11,'Holgura'!$B$6:$B$11,$A98,'Holgura'!$E$6:$E$11,"Diego")+SUMIFS('Holgura'!$I$6:$I$11,'Holgura'!$B$6:$B$11,$A98,'Holgura'!$E$6:$E$11,"Ambos")+SUMIFS('Entrega'!$I$6:$I$9,'Entrega'!$B$6:$B$9,$A98,'Entrega'!$E$6:$E$9,"Diego")+SUMIFS('Entrega'!$I$6:$I$9,'Entrega'!$B$6:$B$9,$A98,'Entrega'!$E$6:$E$9,"Ambos")+SUMIFS('Defensa'!$I$6:$I$10,'Defensa'!$B$6:$B$10,$A98,'Defensa'!$E$6:$E$10,"Diego")+SUMIFS('Defensa'!$I$6:$I$10,'Defensa'!$B$6:$B$10,$A98,'Defensa'!$E$6:$E$10,"Ambos")</f>
        <v/>
      </c>
      <c r="F98" s="21">
        <f>COUNTIFS('S1'!$B$6:$B$32,$A98,'S1'!$E$6:$E$32,"Víctor")+COUNTIFS('S1'!$B$6:$B$32,$A98,'S1'!$E$6:$E$32,"Ambos")+COUNTIFS('S2'!$B$6:$B$23,$A98,'S2'!$E$6:$E$23,"Víctor")+COUNTIFS('S2'!$B$6:$B$23,$A98,'S2'!$E$6:$E$23,"Ambos")+COUNTIFS('S3'!$B$6:$B$24,$A98,'S3'!$E$6:$E$24,"Víctor")+COUNTIFS('S3'!$B$6:$B$24,$A98,'S3'!$E$6:$E$24,"Ambos")+COUNTIFS('S4'!$B$6:$B$22,$A98,'S4'!$E$6:$E$22,"Víctor")+COUNTIFS('S4'!$B$6:$B$22,$A98,'S4'!$E$6:$E$22,"Ambos")+COUNTIFS('S5'!$B$6:$B$20,$A98,'S5'!$E$6:$E$20,"Víctor")+COUNTIFS('S5'!$B$6:$B$20,$A98,'S5'!$E$6:$E$20,"Ambos")+COUNTIFS('S6'!$B$6:$B$17,$A98,'S6'!$E$6:$E$17,"Víctor")+COUNTIFS('S6'!$B$6:$B$17,$A98,'S6'!$E$6:$E$17,"Ambos")+COUNTIFS('S7'!$B$6:$B$19,$A98,'S7'!$E$6:$E$19,"Víctor")+COUNTIFS('S7'!$B$6:$B$19,$A98,'S7'!$E$6:$E$19,"Ambos")+COUNTIFS('S8'!$B$6:$B$23,$A98,'S8'!$E$6:$E$23,"Víctor")+COUNTIFS('S8'!$B$6:$B$23,$A98,'S8'!$E$6:$E$23,"Ambos")+COUNTIFS('S9'!$B$6:$B$15,$A98,'S9'!$E$6:$E$15,"Víctor")+COUNTIFS('S9'!$B$6:$B$15,$A98,'S9'!$E$6:$E$15,"Ambos")+COUNTIFS('S10'!$B$6:$B$13,$A98,'S10'!$E$6:$E$13,"Víctor")+COUNTIFS('S10'!$B$6:$B$13,$A98,'S10'!$E$6:$E$13,"Ambos")+COUNTIFS('Holgura'!$B$6:$B$11,$A98,'Holgura'!$E$6:$E$11,"Víctor")+COUNTIFS('Holgura'!$B$6:$B$11,$A98,'Holgura'!$E$6:$E$11,"Ambos")+COUNTIFS('Entrega'!$B$6:$B$9,$A98,'Entrega'!$E$6:$E$9,"Víctor")+COUNTIFS('Entrega'!$B$6:$B$9,$A98,'Entrega'!$E$6:$E$9,"Ambos")+COUNTIFS('Defensa'!$B$6:$B$10,$A98,'Defensa'!$E$6:$E$10,"Víctor")+COUNTIFS('Defensa'!$B$6:$B$10,$A98,'Defensa'!$E$6:$E$10,"Ambos")</f>
        <v/>
      </c>
      <c r="G98" s="21">
        <f>COUNTIFS('S1'!$B$6:$B$32,$A98,'S1'!$E$6:$E$32,"Diego")+COUNTIFS('S1'!$B$6:$B$32,$A98,'S1'!$E$6:$E$32,"Ambos")+COUNTIFS('S2'!$B$6:$B$23,$A98,'S2'!$E$6:$E$23,"Diego")+COUNTIFS('S2'!$B$6:$B$23,$A98,'S2'!$E$6:$E$23,"Ambos")+COUNTIFS('S3'!$B$6:$B$24,$A98,'S3'!$E$6:$E$24,"Diego")+COUNTIFS('S3'!$B$6:$B$24,$A98,'S3'!$E$6:$E$24,"Ambos")+COUNTIFS('S4'!$B$6:$B$22,$A98,'S4'!$E$6:$E$22,"Diego")+COUNTIFS('S4'!$B$6:$B$22,$A98,'S4'!$E$6:$E$22,"Ambos")+COUNTIFS('S5'!$B$6:$B$20,$A98,'S5'!$E$6:$E$20,"Diego")+COUNTIFS('S5'!$B$6:$B$20,$A98,'S5'!$E$6:$E$20,"Ambos")+COUNTIFS('S6'!$B$6:$B$17,$A98,'S6'!$E$6:$E$17,"Diego")+COUNTIFS('S6'!$B$6:$B$17,$A98,'S6'!$E$6:$E$17,"Ambos")+COUNTIFS('S7'!$B$6:$B$19,$A98,'S7'!$E$6:$E$19,"Diego")+COUNTIFS('S7'!$B$6:$B$19,$A98,'S7'!$E$6:$E$19,"Ambos")+COUNTIFS('S8'!$B$6:$B$23,$A98,'S8'!$E$6:$E$23,"Diego")+COUNTIFS('S8'!$B$6:$B$23,$A98,'S8'!$E$6:$E$23,"Ambos")+COUNTIFS('S9'!$B$6:$B$15,$A98,'S9'!$E$6:$E$15,"Diego")+COUNTIFS('S9'!$B$6:$B$15,$A98,'S9'!$E$6:$E$15,"Ambos")+COUNTIFS('S10'!$B$6:$B$13,$A98,'S10'!$E$6:$E$13,"Diego")+COUNTIFS('S10'!$B$6:$B$13,$A98,'S10'!$E$6:$E$13,"Ambos")+COUNTIFS('Holgura'!$B$6:$B$11,$A98,'Holgura'!$E$6:$E$11,"Diego")+COUNTIFS('Holgura'!$B$6:$B$11,$A98,'Holgura'!$E$6:$E$11,"Ambos")+COUNTIFS('Entrega'!$B$6:$B$9,$A98,'Entrega'!$E$6:$E$9,"Diego")+COUNTIFS('Entrega'!$B$6:$B$9,$A98,'Entrega'!$E$6:$E$9,"Ambos")+COUNTIFS('Defensa'!$B$6:$B$10,$A98,'Defensa'!$E$6:$E$10,"Diego")+COUNTIFS('Defensa'!$B$6:$B$10,$A98,'Defensa'!$E$6:$E$10,"Ambos")</f>
        <v/>
      </c>
    </row>
    <row r="99">
      <c r="A99" s="25" t="n">
        <v>46401</v>
      </c>
      <c r="B99" s="26">
        <f>A99</f>
        <v/>
      </c>
      <c r="C99" s="21">
        <f>IF(WEEKDAY(A99,2)&gt;5,4,2)</f>
        <v/>
      </c>
      <c r="D99" s="21">
        <f>SUMIFS('S1'!$I$6:$I$32,'S1'!$B$6:$B$32,$A99,'S1'!$E$6:$E$32,"Víctor")+SUMIFS('S1'!$I$6:$I$32,'S1'!$B$6:$B$32,$A99,'S1'!$E$6:$E$32,"Ambos")+SUMIFS('S2'!$I$6:$I$23,'S2'!$B$6:$B$23,$A99,'S2'!$E$6:$E$23,"Víctor")+SUMIFS('S2'!$I$6:$I$23,'S2'!$B$6:$B$23,$A99,'S2'!$E$6:$E$23,"Ambos")+SUMIFS('S3'!$I$6:$I$24,'S3'!$B$6:$B$24,$A99,'S3'!$E$6:$E$24,"Víctor")+SUMIFS('S3'!$I$6:$I$24,'S3'!$B$6:$B$24,$A99,'S3'!$E$6:$E$24,"Ambos")+SUMIFS('S4'!$I$6:$I$22,'S4'!$B$6:$B$22,$A99,'S4'!$E$6:$E$22,"Víctor")+SUMIFS('S4'!$I$6:$I$22,'S4'!$B$6:$B$22,$A99,'S4'!$E$6:$E$22,"Ambos")+SUMIFS('S5'!$I$6:$I$20,'S5'!$B$6:$B$20,$A99,'S5'!$E$6:$E$20,"Víctor")+SUMIFS('S5'!$I$6:$I$20,'S5'!$B$6:$B$20,$A99,'S5'!$E$6:$E$20,"Ambos")+SUMIFS('S6'!$I$6:$I$17,'S6'!$B$6:$B$17,$A99,'S6'!$E$6:$E$17,"Víctor")+SUMIFS('S6'!$I$6:$I$17,'S6'!$B$6:$B$17,$A99,'S6'!$E$6:$E$17,"Ambos")+SUMIFS('S7'!$I$6:$I$19,'S7'!$B$6:$B$19,$A99,'S7'!$E$6:$E$19,"Víctor")+SUMIFS('S7'!$I$6:$I$19,'S7'!$B$6:$B$19,$A99,'S7'!$E$6:$E$19,"Ambos")+SUMIFS('S8'!$I$6:$I$23,'S8'!$B$6:$B$23,$A99,'S8'!$E$6:$E$23,"Víctor")+SUMIFS('S8'!$I$6:$I$23,'S8'!$B$6:$B$23,$A99,'S8'!$E$6:$E$23,"Ambos")+SUMIFS('S9'!$I$6:$I$15,'S9'!$B$6:$B$15,$A99,'S9'!$E$6:$E$15,"Víctor")+SUMIFS('S9'!$I$6:$I$15,'S9'!$B$6:$B$15,$A99,'S9'!$E$6:$E$15,"Ambos")+SUMIFS('S10'!$I$6:$I$13,'S10'!$B$6:$B$13,$A99,'S10'!$E$6:$E$13,"Víctor")+SUMIFS('S10'!$I$6:$I$13,'S10'!$B$6:$B$13,$A99,'S10'!$E$6:$E$13,"Ambos")+SUMIFS('Holgura'!$I$6:$I$11,'Holgura'!$B$6:$B$11,$A99,'Holgura'!$E$6:$E$11,"Víctor")+SUMIFS('Holgura'!$I$6:$I$11,'Holgura'!$B$6:$B$11,$A99,'Holgura'!$E$6:$E$11,"Ambos")+SUMIFS('Entrega'!$I$6:$I$9,'Entrega'!$B$6:$B$9,$A99,'Entrega'!$E$6:$E$9,"Víctor")+SUMIFS('Entrega'!$I$6:$I$9,'Entrega'!$B$6:$B$9,$A99,'Entrega'!$E$6:$E$9,"Ambos")+SUMIFS('Defensa'!$I$6:$I$10,'Defensa'!$B$6:$B$10,$A99,'Defensa'!$E$6:$E$10,"Víctor")+SUMIFS('Defensa'!$I$6:$I$10,'Defensa'!$B$6:$B$10,$A99,'Defensa'!$E$6:$E$10,"Ambos")</f>
        <v/>
      </c>
      <c r="E99" s="21">
        <f>SUMIFS('S1'!$I$6:$I$32,'S1'!$B$6:$B$32,$A99,'S1'!$E$6:$E$32,"Diego")+SUMIFS('S1'!$I$6:$I$32,'S1'!$B$6:$B$32,$A99,'S1'!$E$6:$E$32,"Ambos")+SUMIFS('S2'!$I$6:$I$23,'S2'!$B$6:$B$23,$A99,'S2'!$E$6:$E$23,"Diego")+SUMIFS('S2'!$I$6:$I$23,'S2'!$B$6:$B$23,$A99,'S2'!$E$6:$E$23,"Ambos")+SUMIFS('S3'!$I$6:$I$24,'S3'!$B$6:$B$24,$A99,'S3'!$E$6:$E$24,"Diego")+SUMIFS('S3'!$I$6:$I$24,'S3'!$B$6:$B$24,$A99,'S3'!$E$6:$E$24,"Ambos")+SUMIFS('S4'!$I$6:$I$22,'S4'!$B$6:$B$22,$A99,'S4'!$E$6:$E$22,"Diego")+SUMIFS('S4'!$I$6:$I$22,'S4'!$B$6:$B$22,$A99,'S4'!$E$6:$E$22,"Ambos")+SUMIFS('S5'!$I$6:$I$20,'S5'!$B$6:$B$20,$A99,'S5'!$E$6:$E$20,"Diego")+SUMIFS('S5'!$I$6:$I$20,'S5'!$B$6:$B$20,$A99,'S5'!$E$6:$E$20,"Ambos")+SUMIFS('S6'!$I$6:$I$17,'S6'!$B$6:$B$17,$A99,'S6'!$E$6:$E$17,"Diego")+SUMIFS('S6'!$I$6:$I$17,'S6'!$B$6:$B$17,$A99,'S6'!$E$6:$E$17,"Ambos")+SUMIFS('S7'!$I$6:$I$19,'S7'!$B$6:$B$19,$A99,'S7'!$E$6:$E$19,"Diego")+SUMIFS('S7'!$I$6:$I$19,'S7'!$B$6:$B$19,$A99,'S7'!$E$6:$E$19,"Ambos")+SUMIFS('S8'!$I$6:$I$23,'S8'!$B$6:$B$23,$A99,'S8'!$E$6:$E$23,"Diego")+SUMIFS('S8'!$I$6:$I$23,'S8'!$B$6:$B$23,$A99,'S8'!$E$6:$E$23,"Ambos")+SUMIFS('S9'!$I$6:$I$15,'S9'!$B$6:$B$15,$A99,'S9'!$E$6:$E$15,"Diego")+SUMIFS('S9'!$I$6:$I$15,'S9'!$B$6:$B$15,$A99,'S9'!$E$6:$E$15,"Ambos")+SUMIFS('S10'!$I$6:$I$13,'S10'!$B$6:$B$13,$A99,'S10'!$E$6:$E$13,"Diego")+SUMIFS('S10'!$I$6:$I$13,'S10'!$B$6:$B$13,$A99,'S10'!$E$6:$E$13,"Ambos")+SUMIFS('Holgura'!$I$6:$I$11,'Holgura'!$B$6:$B$11,$A99,'Holgura'!$E$6:$E$11,"Diego")+SUMIFS('Holgura'!$I$6:$I$11,'Holgura'!$B$6:$B$11,$A99,'Holgura'!$E$6:$E$11,"Ambos")+SUMIFS('Entrega'!$I$6:$I$9,'Entrega'!$B$6:$B$9,$A99,'Entrega'!$E$6:$E$9,"Diego")+SUMIFS('Entrega'!$I$6:$I$9,'Entrega'!$B$6:$B$9,$A99,'Entrega'!$E$6:$E$9,"Ambos")+SUMIFS('Defensa'!$I$6:$I$10,'Defensa'!$B$6:$B$10,$A99,'Defensa'!$E$6:$E$10,"Diego")+SUMIFS('Defensa'!$I$6:$I$10,'Defensa'!$B$6:$B$10,$A99,'Defensa'!$E$6:$E$10,"Ambos")</f>
        <v/>
      </c>
      <c r="F99" s="21">
        <f>COUNTIFS('S1'!$B$6:$B$32,$A99,'S1'!$E$6:$E$32,"Víctor")+COUNTIFS('S1'!$B$6:$B$32,$A99,'S1'!$E$6:$E$32,"Ambos")+COUNTIFS('S2'!$B$6:$B$23,$A99,'S2'!$E$6:$E$23,"Víctor")+COUNTIFS('S2'!$B$6:$B$23,$A99,'S2'!$E$6:$E$23,"Ambos")+COUNTIFS('S3'!$B$6:$B$24,$A99,'S3'!$E$6:$E$24,"Víctor")+COUNTIFS('S3'!$B$6:$B$24,$A99,'S3'!$E$6:$E$24,"Ambos")+COUNTIFS('S4'!$B$6:$B$22,$A99,'S4'!$E$6:$E$22,"Víctor")+COUNTIFS('S4'!$B$6:$B$22,$A99,'S4'!$E$6:$E$22,"Ambos")+COUNTIFS('S5'!$B$6:$B$20,$A99,'S5'!$E$6:$E$20,"Víctor")+COUNTIFS('S5'!$B$6:$B$20,$A99,'S5'!$E$6:$E$20,"Ambos")+COUNTIFS('S6'!$B$6:$B$17,$A99,'S6'!$E$6:$E$17,"Víctor")+COUNTIFS('S6'!$B$6:$B$17,$A99,'S6'!$E$6:$E$17,"Ambos")+COUNTIFS('S7'!$B$6:$B$19,$A99,'S7'!$E$6:$E$19,"Víctor")+COUNTIFS('S7'!$B$6:$B$19,$A99,'S7'!$E$6:$E$19,"Ambos")+COUNTIFS('S8'!$B$6:$B$23,$A99,'S8'!$E$6:$E$23,"Víctor")+COUNTIFS('S8'!$B$6:$B$23,$A99,'S8'!$E$6:$E$23,"Ambos")+COUNTIFS('S9'!$B$6:$B$15,$A99,'S9'!$E$6:$E$15,"Víctor")+COUNTIFS('S9'!$B$6:$B$15,$A99,'S9'!$E$6:$E$15,"Ambos")+COUNTIFS('S10'!$B$6:$B$13,$A99,'S10'!$E$6:$E$13,"Víctor")+COUNTIFS('S10'!$B$6:$B$13,$A99,'S10'!$E$6:$E$13,"Ambos")+COUNTIFS('Holgura'!$B$6:$B$11,$A99,'Holgura'!$E$6:$E$11,"Víctor")+COUNTIFS('Holgura'!$B$6:$B$11,$A99,'Holgura'!$E$6:$E$11,"Ambos")+COUNTIFS('Entrega'!$B$6:$B$9,$A99,'Entrega'!$E$6:$E$9,"Víctor")+COUNTIFS('Entrega'!$B$6:$B$9,$A99,'Entrega'!$E$6:$E$9,"Ambos")+COUNTIFS('Defensa'!$B$6:$B$10,$A99,'Defensa'!$E$6:$E$10,"Víctor")+COUNTIFS('Defensa'!$B$6:$B$10,$A99,'Defensa'!$E$6:$E$10,"Ambos")</f>
        <v/>
      </c>
      <c r="G99" s="21">
        <f>COUNTIFS('S1'!$B$6:$B$32,$A99,'S1'!$E$6:$E$32,"Diego")+COUNTIFS('S1'!$B$6:$B$32,$A99,'S1'!$E$6:$E$32,"Ambos")+COUNTIFS('S2'!$B$6:$B$23,$A99,'S2'!$E$6:$E$23,"Diego")+COUNTIFS('S2'!$B$6:$B$23,$A99,'S2'!$E$6:$E$23,"Ambos")+COUNTIFS('S3'!$B$6:$B$24,$A99,'S3'!$E$6:$E$24,"Diego")+COUNTIFS('S3'!$B$6:$B$24,$A99,'S3'!$E$6:$E$24,"Ambos")+COUNTIFS('S4'!$B$6:$B$22,$A99,'S4'!$E$6:$E$22,"Diego")+COUNTIFS('S4'!$B$6:$B$22,$A99,'S4'!$E$6:$E$22,"Ambos")+COUNTIFS('S5'!$B$6:$B$20,$A99,'S5'!$E$6:$E$20,"Diego")+COUNTIFS('S5'!$B$6:$B$20,$A99,'S5'!$E$6:$E$20,"Ambos")+COUNTIFS('S6'!$B$6:$B$17,$A99,'S6'!$E$6:$E$17,"Diego")+COUNTIFS('S6'!$B$6:$B$17,$A99,'S6'!$E$6:$E$17,"Ambos")+COUNTIFS('S7'!$B$6:$B$19,$A99,'S7'!$E$6:$E$19,"Diego")+COUNTIFS('S7'!$B$6:$B$19,$A99,'S7'!$E$6:$E$19,"Ambos")+COUNTIFS('S8'!$B$6:$B$23,$A99,'S8'!$E$6:$E$23,"Diego")+COUNTIFS('S8'!$B$6:$B$23,$A99,'S8'!$E$6:$E$23,"Ambos")+COUNTIFS('S9'!$B$6:$B$15,$A99,'S9'!$E$6:$E$15,"Diego")+COUNTIFS('S9'!$B$6:$B$15,$A99,'S9'!$E$6:$E$15,"Ambos")+COUNTIFS('S10'!$B$6:$B$13,$A99,'S10'!$E$6:$E$13,"Diego")+COUNTIFS('S10'!$B$6:$B$13,$A99,'S10'!$E$6:$E$13,"Ambos")+COUNTIFS('Holgura'!$B$6:$B$11,$A99,'Holgura'!$E$6:$E$11,"Diego")+COUNTIFS('Holgura'!$B$6:$B$11,$A99,'Holgura'!$E$6:$E$11,"Ambos")+COUNTIFS('Entrega'!$B$6:$B$9,$A99,'Entrega'!$E$6:$E$9,"Diego")+COUNTIFS('Entrega'!$B$6:$B$9,$A99,'Entrega'!$E$6:$E$9,"Ambos")+COUNTIFS('Defensa'!$B$6:$B$10,$A99,'Defensa'!$E$6:$E$10,"Diego")+COUNTIFS('Defensa'!$B$6:$B$10,$A99,'Defensa'!$E$6:$E$10,"Ambos")</f>
        <v/>
      </c>
    </row>
    <row r="100">
      <c r="A100" s="25" t="n">
        <v>46402</v>
      </c>
      <c r="B100" s="26">
        <f>A100</f>
        <v/>
      </c>
      <c r="C100" s="21">
        <f>IF(WEEKDAY(A100,2)&gt;5,4,2)</f>
        <v/>
      </c>
      <c r="D100" s="21">
        <f>SUMIFS('S1'!$I$6:$I$32,'S1'!$B$6:$B$32,$A100,'S1'!$E$6:$E$32,"Víctor")+SUMIFS('S1'!$I$6:$I$32,'S1'!$B$6:$B$32,$A100,'S1'!$E$6:$E$32,"Ambos")+SUMIFS('S2'!$I$6:$I$23,'S2'!$B$6:$B$23,$A100,'S2'!$E$6:$E$23,"Víctor")+SUMIFS('S2'!$I$6:$I$23,'S2'!$B$6:$B$23,$A100,'S2'!$E$6:$E$23,"Ambos")+SUMIFS('S3'!$I$6:$I$24,'S3'!$B$6:$B$24,$A100,'S3'!$E$6:$E$24,"Víctor")+SUMIFS('S3'!$I$6:$I$24,'S3'!$B$6:$B$24,$A100,'S3'!$E$6:$E$24,"Ambos")+SUMIFS('S4'!$I$6:$I$22,'S4'!$B$6:$B$22,$A100,'S4'!$E$6:$E$22,"Víctor")+SUMIFS('S4'!$I$6:$I$22,'S4'!$B$6:$B$22,$A100,'S4'!$E$6:$E$22,"Ambos")+SUMIFS('S5'!$I$6:$I$20,'S5'!$B$6:$B$20,$A100,'S5'!$E$6:$E$20,"Víctor")+SUMIFS('S5'!$I$6:$I$20,'S5'!$B$6:$B$20,$A100,'S5'!$E$6:$E$20,"Ambos")+SUMIFS('S6'!$I$6:$I$17,'S6'!$B$6:$B$17,$A100,'S6'!$E$6:$E$17,"Víctor")+SUMIFS('S6'!$I$6:$I$17,'S6'!$B$6:$B$17,$A100,'S6'!$E$6:$E$17,"Ambos")+SUMIFS('S7'!$I$6:$I$19,'S7'!$B$6:$B$19,$A100,'S7'!$E$6:$E$19,"Víctor")+SUMIFS('S7'!$I$6:$I$19,'S7'!$B$6:$B$19,$A100,'S7'!$E$6:$E$19,"Ambos")+SUMIFS('S8'!$I$6:$I$23,'S8'!$B$6:$B$23,$A100,'S8'!$E$6:$E$23,"Víctor")+SUMIFS('S8'!$I$6:$I$23,'S8'!$B$6:$B$23,$A100,'S8'!$E$6:$E$23,"Ambos")+SUMIFS('S9'!$I$6:$I$15,'S9'!$B$6:$B$15,$A100,'S9'!$E$6:$E$15,"Víctor")+SUMIFS('S9'!$I$6:$I$15,'S9'!$B$6:$B$15,$A100,'S9'!$E$6:$E$15,"Ambos")+SUMIFS('S10'!$I$6:$I$13,'S10'!$B$6:$B$13,$A100,'S10'!$E$6:$E$13,"Víctor")+SUMIFS('S10'!$I$6:$I$13,'S10'!$B$6:$B$13,$A100,'S10'!$E$6:$E$13,"Ambos")+SUMIFS('Holgura'!$I$6:$I$11,'Holgura'!$B$6:$B$11,$A100,'Holgura'!$E$6:$E$11,"Víctor")+SUMIFS('Holgura'!$I$6:$I$11,'Holgura'!$B$6:$B$11,$A100,'Holgura'!$E$6:$E$11,"Ambos")+SUMIFS('Entrega'!$I$6:$I$9,'Entrega'!$B$6:$B$9,$A100,'Entrega'!$E$6:$E$9,"Víctor")+SUMIFS('Entrega'!$I$6:$I$9,'Entrega'!$B$6:$B$9,$A100,'Entrega'!$E$6:$E$9,"Ambos")+SUMIFS('Defensa'!$I$6:$I$10,'Defensa'!$B$6:$B$10,$A100,'Defensa'!$E$6:$E$10,"Víctor")+SUMIFS('Defensa'!$I$6:$I$10,'Defensa'!$B$6:$B$10,$A100,'Defensa'!$E$6:$E$10,"Ambos")</f>
        <v/>
      </c>
      <c r="E100" s="21">
        <f>SUMIFS('S1'!$I$6:$I$32,'S1'!$B$6:$B$32,$A100,'S1'!$E$6:$E$32,"Diego")+SUMIFS('S1'!$I$6:$I$32,'S1'!$B$6:$B$32,$A100,'S1'!$E$6:$E$32,"Ambos")+SUMIFS('S2'!$I$6:$I$23,'S2'!$B$6:$B$23,$A100,'S2'!$E$6:$E$23,"Diego")+SUMIFS('S2'!$I$6:$I$23,'S2'!$B$6:$B$23,$A100,'S2'!$E$6:$E$23,"Ambos")+SUMIFS('S3'!$I$6:$I$24,'S3'!$B$6:$B$24,$A100,'S3'!$E$6:$E$24,"Diego")+SUMIFS('S3'!$I$6:$I$24,'S3'!$B$6:$B$24,$A100,'S3'!$E$6:$E$24,"Ambos")+SUMIFS('S4'!$I$6:$I$22,'S4'!$B$6:$B$22,$A100,'S4'!$E$6:$E$22,"Diego")+SUMIFS('S4'!$I$6:$I$22,'S4'!$B$6:$B$22,$A100,'S4'!$E$6:$E$22,"Ambos")+SUMIFS('S5'!$I$6:$I$20,'S5'!$B$6:$B$20,$A100,'S5'!$E$6:$E$20,"Diego")+SUMIFS('S5'!$I$6:$I$20,'S5'!$B$6:$B$20,$A100,'S5'!$E$6:$E$20,"Ambos")+SUMIFS('S6'!$I$6:$I$17,'S6'!$B$6:$B$17,$A100,'S6'!$E$6:$E$17,"Diego")+SUMIFS('S6'!$I$6:$I$17,'S6'!$B$6:$B$17,$A100,'S6'!$E$6:$E$17,"Ambos")+SUMIFS('S7'!$I$6:$I$19,'S7'!$B$6:$B$19,$A100,'S7'!$E$6:$E$19,"Diego")+SUMIFS('S7'!$I$6:$I$19,'S7'!$B$6:$B$19,$A100,'S7'!$E$6:$E$19,"Ambos")+SUMIFS('S8'!$I$6:$I$23,'S8'!$B$6:$B$23,$A100,'S8'!$E$6:$E$23,"Diego")+SUMIFS('S8'!$I$6:$I$23,'S8'!$B$6:$B$23,$A100,'S8'!$E$6:$E$23,"Ambos")+SUMIFS('S9'!$I$6:$I$15,'S9'!$B$6:$B$15,$A100,'S9'!$E$6:$E$15,"Diego")+SUMIFS('S9'!$I$6:$I$15,'S9'!$B$6:$B$15,$A100,'S9'!$E$6:$E$15,"Ambos")+SUMIFS('S10'!$I$6:$I$13,'S10'!$B$6:$B$13,$A100,'S10'!$E$6:$E$13,"Diego")+SUMIFS('S10'!$I$6:$I$13,'S10'!$B$6:$B$13,$A100,'S10'!$E$6:$E$13,"Ambos")+SUMIFS('Holgura'!$I$6:$I$11,'Holgura'!$B$6:$B$11,$A100,'Holgura'!$E$6:$E$11,"Diego")+SUMIFS('Holgura'!$I$6:$I$11,'Holgura'!$B$6:$B$11,$A100,'Holgura'!$E$6:$E$11,"Ambos")+SUMIFS('Entrega'!$I$6:$I$9,'Entrega'!$B$6:$B$9,$A100,'Entrega'!$E$6:$E$9,"Diego")+SUMIFS('Entrega'!$I$6:$I$9,'Entrega'!$B$6:$B$9,$A100,'Entrega'!$E$6:$E$9,"Ambos")+SUMIFS('Defensa'!$I$6:$I$10,'Defensa'!$B$6:$B$10,$A100,'Defensa'!$E$6:$E$10,"Diego")+SUMIFS('Defensa'!$I$6:$I$10,'Defensa'!$B$6:$B$10,$A100,'Defensa'!$E$6:$E$10,"Ambos")</f>
        <v/>
      </c>
      <c r="F100" s="21">
        <f>COUNTIFS('S1'!$B$6:$B$32,$A100,'S1'!$E$6:$E$32,"Víctor")+COUNTIFS('S1'!$B$6:$B$32,$A100,'S1'!$E$6:$E$32,"Ambos")+COUNTIFS('S2'!$B$6:$B$23,$A100,'S2'!$E$6:$E$23,"Víctor")+COUNTIFS('S2'!$B$6:$B$23,$A100,'S2'!$E$6:$E$23,"Ambos")+COUNTIFS('S3'!$B$6:$B$24,$A100,'S3'!$E$6:$E$24,"Víctor")+COUNTIFS('S3'!$B$6:$B$24,$A100,'S3'!$E$6:$E$24,"Ambos")+COUNTIFS('S4'!$B$6:$B$22,$A100,'S4'!$E$6:$E$22,"Víctor")+COUNTIFS('S4'!$B$6:$B$22,$A100,'S4'!$E$6:$E$22,"Ambos")+COUNTIFS('S5'!$B$6:$B$20,$A100,'S5'!$E$6:$E$20,"Víctor")+COUNTIFS('S5'!$B$6:$B$20,$A100,'S5'!$E$6:$E$20,"Ambos")+COUNTIFS('S6'!$B$6:$B$17,$A100,'S6'!$E$6:$E$17,"Víctor")+COUNTIFS('S6'!$B$6:$B$17,$A100,'S6'!$E$6:$E$17,"Ambos")+COUNTIFS('S7'!$B$6:$B$19,$A100,'S7'!$E$6:$E$19,"Víctor")+COUNTIFS('S7'!$B$6:$B$19,$A100,'S7'!$E$6:$E$19,"Ambos")+COUNTIFS('S8'!$B$6:$B$23,$A100,'S8'!$E$6:$E$23,"Víctor")+COUNTIFS('S8'!$B$6:$B$23,$A100,'S8'!$E$6:$E$23,"Ambos")+COUNTIFS('S9'!$B$6:$B$15,$A100,'S9'!$E$6:$E$15,"Víctor")+COUNTIFS('S9'!$B$6:$B$15,$A100,'S9'!$E$6:$E$15,"Ambos")+COUNTIFS('S10'!$B$6:$B$13,$A100,'S10'!$E$6:$E$13,"Víctor")+COUNTIFS('S10'!$B$6:$B$13,$A100,'S10'!$E$6:$E$13,"Ambos")+COUNTIFS('Holgura'!$B$6:$B$11,$A100,'Holgura'!$E$6:$E$11,"Víctor")+COUNTIFS('Holgura'!$B$6:$B$11,$A100,'Holgura'!$E$6:$E$11,"Ambos")+COUNTIFS('Entrega'!$B$6:$B$9,$A100,'Entrega'!$E$6:$E$9,"Víctor")+COUNTIFS('Entrega'!$B$6:$B$9,$A100,'Entrega'!$E$6:$E$9,"Ambos")+COUNTIFS('Defensa'!$B$6:$B$10,$A100,'Defensa'!$E$6:$E$10,"Víctor")+COUNTIFS('Defensa'!$B$6:$B$10,$A100,'Defensa'!$E$6:$E$10,"Ambos")</f>
        <v/>
      </c>
      <c r="G100" s="21">
        <f>COUNTIFS('S1'!$B$6:$B$32,$A100,'S1'!$E$6:$E$32,"Diego")+COUNTIFS('S1'!$B$6:$B$32,$A100,'S1'!$E$6:$E$32,"Ambos")+COUNTIFS('S2'!$B$6:$B$23,$A100,'S2'!$E$6:$E$23,"Diego")+COUNTIFS('S2'!$B$6:$B$23,$A100,'S2'!$E$6:$E$23,"Ambos")+COUNTIFS('S3'!$B$6:$B$24,$A100,'S3'!$E$6:$E$24,"Diego")+COUNTIFS('S3'!$B$6:$B$24,$A100,'S3'!$E$6:$E$24,"Ambos")+COUNTIFS('S4'!$B$6:$B$22,$A100,'S4'!$E$6:$E$22,"Diego")+COUNTIFS('S4'!$B$6:$B$22,$A100,'S4'!$E$6:$E$22,"Ambos")+COUNTIFS('S5'!$B$6:$B$20,$A100,'S5'!$E$6:$E$20,"Diego")+COUNTIFS('S5'!$B$6:$B$20,$A100,'S5'!$E$6:$E$20,"Ambos")+COUNTIFS('S6'!$B$6:$B$17,$A100,'S6'!$E$6:$E$17,"Diego")+COUNTIFS('S6'!$B$6:$B$17,$A100,'S6'!$E$6:$E$17,"Ambos")+COUNTIFS('S7'!$B$6:$B$19,$A100,'S7'!$E$6:$E$19,"Diego")+COUNTIFS('S7'!$B$6:$B$19,$A100,'S7'!$E$6:$E$19,"Ambos")+COUNTIFS('S8'!$B$6:$B$23,$A100,'S8'!$E$6:$E$23,"Diego")+COUNTIFS('S8'!$B$6:$B$23,$A100,'S8'!$E$6:$E$23,"Ambos")+COUNTIFS('S9'!$B$6:$B$15,$A100,'S9'!$E$6:$E$15,"Diego")+COUNTIFS('S9'!$B$6:$B$15,$A100,'S9'!$E$6:$E$15,"Ambos")+COUNTIFS('S10'!$B$6:$B$13,$A100,'S10'!$E$6:$E$13,"Diego")+COUNTIFS('S10'!$B$6:$B$13,$A100,'S10'!$E$6:$E$13,"Ambos")+COUNTIFS('Holgura'!$B$6:$B$11,$A100,'Holgura'!$E$6:$E$11,"Diego")+COUNTIFS('Holgura'!$B$6:$B$11,$A100,'Holgura'!$E$6:$E$11,"Ambos")+COUNTIFS('Entrega'!$B$6:$B$9,$A100,'Entrega'!$E$6:$E$9,"Diego")+COUNTIFS('Entrega'!$B$6:$B$9,$A100,'Entrega'!$E$6:$E$9,"Ambos")+COUNTIFS('Defensa'!$B$6:$B$10,$A100,'Defensa'!$E$6:$E$10,"Diego")+COUNTIFS('Defensa'!$B$6:$B$10,$A100,'Defensa'!$E$6:$E$10,"Ambos")</f>
        <v/>
      </c>
    </row>
    <row r="101">
      <c r="A101" s="25" t="n">
        <v>46403</v>
      </c>
      <c r="B101" s="26">
        <f>A101</f>
        <v/>
      </c>
      <c r="C101" s="21">
        <f>IF(WEEKDAY(A101,2)&gt;5,4,2)</f>
        <v/>
      </c>
      <c r="D101" s="21">
        <f>SUMIFS('S1'!$I$6:$I$32,'S1'!$B$6:$B$32,$A101,'S1'!$E$6:$E$32,"Víctor")+SUMIFS('S1'!$I$6:$I$32,'S1'!$B$6:$B$32,$A101,'S1'!$E$6:$E$32,"Ambos")+SUMIFS('S2'!$I$6:$I$23,'S2'!$B$6:$B$23,$A101,'S2'!$E$6:$E$23,"Víctor")+SUMIFS('S2'!$I$6:$I$23,'S2'!$B$6:$B$23,$A101,'S2'!$E$6:$E$23,"Ambos")+SUMIFS('S3'!$I$6:$I$24,'S3'!$B$6:$B$24,$A101,'S3'!$E$6:$E$24,"Víctor")+SUMIFS('S3'!$I$6:$I$24,'S3'!$B$6:$B$24,$A101,'S3'!$E$6:$E$24,"Ambos")+SUMIFS('S4'!$I$6:$I$22,'S4'!$B$6:$B$22,$A101,'S4'!$E$6:$E$22,"Víctor")+SUMIFS('S4'!$I$6:$I$22,'S4'!$B$6:$B$22,$A101,'S4'!$E$6:$E$22,"Ambos")+SUMIFS('S5'!$I$6:$I$20,'S5'!$B$6:$B$20,$A101,'S5'!$E$6:$E$20,"Víctor")+SUMIFS('S5'!$I$6:$I$20,'S5'!$B$6:$B$20,$A101,'S5'!$E$6:$E$20,"Ambos")+SUMIFS('S6'!$I$6:$I$17,'S6'!$B$6:$B$17,$A101,'S6'!$E$6:$E$17,"Víctor")+SUMIFS('S6'!$I$6:$I$17,'S6'!$B$6:$B$17,$A101,'S6'!$E$6:$E$17,"Ambos")+SUMIFS('S7'!$I$6:$I$19,'S7'!$B$6:$B$19,$A101,'S7'!$E$6:$E$19,"Víctor")+SUMIFS('S7'!$I$6:$I$19,'S7'!$B$6:$B$19,$A101,'S7'!$E$6:$E$19,"Ambos")+SUMIFS('S8'!$I$6:$I$23,'S8'!$B$6:$B$23,$A101,'S8'!$E$6:$E$23,"Víctor")+SUMIFS('S8'!$I$6:$I$23,'S8'!$B$6:$B$23,$A101,'S8'!$E$6:$E$23,"Ambos")+SUMIFS('S9'!$I$6:$I$15,'S9'!$B$6:$B$15,$A101,'S9'!$E$6:$E$15,"Víctor")+SUMIFS('S9'!$I$6:$I$15,'S9'!$B$6:$B$15,$A101,'S9'!$E$6:$E$15,"Ambos")+SUMIFS('S10'!$I$6:$I$13,'S10'!$B$6:$B$13,$A101,'S10'!$E$6:$E$13,"Víctor")+SUMIFS('S10'!$I$6:$I$13,'S10'!$B$6:$B$13,$A101,'S10'!$E$6:$E$13,"Ambos")+SUMIFS('Holgura'!$I$6:$I$11,'Holgura'!$B$6:$B$11,$A101,'Holgura'!$E$6:$E$11,"Víctor")+SUMIFS('Holgura'!$I$6:$I$11,'Holgura'!$B$6:$B$11,$A101,'Holgura'!$E$6:$E$11,"Ambos")+SUMIFS('Entrega'!$I$6:$I$9,'Entrega'!$B$6:$B$9,$A101,'Entrega'!$E$6:$E$9,"Víctor")+SUMIFS('Entrega'!$I$6:$I$9,'Entrega'!$B$6:$B$9,$A101,'Entrega'!$E$6:$E$9,"Ambos")+SUMIFS('Defensa'!$I$6:$I$10,'Defensa'!$B$6:$B$10,$A101,'Defensa'!$E$6:$E$10,"Víctor")+SUMIFS('Defensa'!$I$6:$I$10,'Defensa'!$B$6:$B$10,$A101,'Defensa'!$E$6:$E$10,"Ambos")</f>
        <v/>
      </c>
      <c r="E101" s="21">
        <f>SUMIFS('S1'!$I$6:$I$32,'S1'!$B$6:$B$32,$A101,'S1'!$E$6:$E$32,"Diego")+SUMIFS('S1'!$I$6:$I$32,'S1'!$B$6:$B$32,$A101,'S1'!$E$6:$E$32,"Ambos")+SUMIFS('S2'!$I$6:$I$23,'S2'!$B$6:$B$23,$A101,'S2'!$E$6:$E$23,"Diego")+SUMIFS('S2'!$I$6:$I$23,'S2'!$B$6:$B$23,$A101,'S2'!$E$6:$E$23,"Ambos")+SUMIFS('S3'!$I$6:$I$24,'S3'!$B$6:$B$24,$A101,'S3'!$E$6:$E$24,"Diego")+SUMIFS('S3'!$I$6:$I$24,'S3'!$B$6:$B$24,$A101,'S3'!$E$6:$E$24,"Ambos")+SUMIFS('S4'!$I$6:$I$22,'S4'!$B$6:$B$22,$A101,'S4'!$E$6:$E$22,"Diego")+SUMIFS('S4'!$I$6:$I$22,'S4'!$B$6:$B$22,$A101,'S4'!$E$6:$E$22,"Ambos")+SUMIFS('S5'!$I$6:$I$20,'S5'!$B$6:$B$20,$A101,'S5'!$E$6:$E$20,"Diego")+SUMIFS('S5'!$I$6:$I$20,'S5'!$B$6:$B$20,$A101,'S5'!$E$6:$E$20,"Ambos")+SUMIFS('S6'!$I$6:$I$17,'S6'!$B$6:$B$17,$A101,'S6'!$E$6:$E$17,"Diego")+SUMIFS('S6'!$I$6:$I$17,'S6'!$B$6:$B$17,$A101,'S6'!$E$6:$E$17,"Ambos")+SUMIFS('S7'!$I$6:$I$19,'S7'!$B$6:$B$19,$A101,'S7'!$E$6:$E$19,"Diego")+SUMIFS('S7'!$I$6:$I$19,'S7'!$B$6:$B$19,$A101,'S7'!$E$6:$E$19,"Ambos")+SUMIFS('S8'!$I$6:$I$23,'S8'!$B$6:$B$23,$A101,'S8'!$E$6:$E$23,"Diego")+SUMIFS('S8'!$I$6:$I$23,'S8'!$B$6:$B$23,$A101,'S8'!$E$6:$E$23,"Ambos")+SUMIFS('S9'!$I$6:$I$15,'S9'!$B$6:$B$15,$A101,'S9'!$E$6:$E$15,"Diego")+SUMIFS('S9'!$I$6:$I$15,'S9'!$B$6:$B$15,$A101,'S9'!$E$6:$E$15,"Ambos")+SUMIFS('S10'!$I$6:$I$13,'S10'!$B$6:$B$13,$A101,'S10'!$E$6:$E$13,"Diego")+SUMIFS('S10'!$I$6:$I$13,'S10'!$B$6:$B$13,$A101,'S10'!$E$6:$E$13,"Ambos")+SUMIFS('Holgura'!$I$6:$I$11,'Holgura'!$B$6:$B$11,$A101,'Holgura'!$E$6:$E$11,"Diego")+SUMIFS('Holgura'!$I$6:$I$11,'Holgura'!$B$6:$B$11,$A101,'Holgura'!$E$6:$E$11,"Ambos")+SUMIFS('Entrega'!$I$6:$I$9,'Entrega'!$B$6:$B$9,$A101,'Entrega'!$E$6:$E$9,"Diego")+SUMIFS('Entrega'!$I$6:$I$9,'Entrega'!$B$6:$B$9,$A101,'Entrega'!$E$6:$E$9,"Ambos")+SUMIFS('Defensa'!$I$6:$I$10,'Defensa'!$B$6:$B$10,$A101,'Defensa'!$E$6:$E$10,"Diego")+SUMIFS('Defensa'!$I$6:$I$10,'Defensa'!$B$6:$B$10,$A101,'Defensa'!$E$6:$E$10,"Ambos")</f>
        <v/>
      </c>
      <c r="F101" s="21">
        <f>COUNTIFS('S1'!$B$6:$B$32,$A101,'S1'!$E$6:$E$32,"Víctor")+COUNTIFS('S1'!$B$6:$B$32,$A101,'S1'!$E$6:$E$32,"Ambos")+COUNTIFS('S2'!$B$6:$B$23,$A101,'S2'!$E$6:$E$23,"Víctor")+COUNTIFS('S2'!$B$6:$B$23,$A101,'S2'!$E$6:$E$23,"Ambos")+COUNTIFS('S3'!$B$6:$B$24,$A101,'S3'!$E$6:$E$24,"Víctor")+COUNTIFS('S3'!$B$6:$B$24,$A101,'S3'!$E$6:$E$24,"Ambos")+COUNTIFS('S4'!$B$6:$B$22,$A101,'S4'!$E$6:$E$22,"Víctor")+COUNTIFS('S4'!$B$6:$B$22,$A101,'S4'!$E$6:$E$22,"Ambos")+COUNTIFS('S5'!$B$6:$B$20,$A101,'S5'!$E$6:$E$20,"Víctor")+COUNTIFS('S5'!$B$6:$B$20,$A101,'S5'!$E$6:$E$20,"Ambos")+COUNTIFS('S6'!$B$6:$B$17,$A101,'S6'!$E$6:$E$17,"Víctor")+COUNTIFS('S6'!$B$6:$B$17,$A101,'S6'!$E$6:$E$17,"Ambos")+COUNTIFS('S7'!$B$6:$B$19,$A101,'S7'!$E$6:$E$19,"Víctor")+COUNTIFS('S7'!$B$6:$B$19,$A101,'S7'!$E$6:$E$19,"Ambos")+COUNTIFS('S8'!$B$6:$B$23,$A101,'S8'!$E$6:$E$23,"Víctor")+COUNTIFS('S8'!$B$6:$B$23,$A101,'S8'!$E$6:$E$23,"Ambos")+COUNTIFS('S9'!$B$6:$B$15,$A101,'S9'!$E$6:$E$15,"Víctor")+COUNTIFS('S9'!$B$6:$B$15,$A101,'S9'!$E$6:$E$15,"Ambos")+COUNTIFS('S10'!$B$6:$B$13,$A101,'S10'!$E$6:$E$13,"Víctor")+COUNTIFS('S10'!$B$6:$B$13,$A101,'S10'!$E$6:$E$13,"Ambos")+COUNTIFS('Holgura'!$B$6:$B$11,$A101,'Holgura'!$E$6:$E$11,"Víctor")+COUNTIFS('Holgura'!$B$6:$B$11,$A101,'Holgura'!$E$6:$E$11,"Ambos")+COUNTIFS('Entrega'!$B$6:$B$9,$A101,'Entrega'!$E$6:$E$9,"Víctor")+COUNTIFS('Entrega'!$B$6:$B$9,$A101,'Entrega'!$E$6:$E$9,"Ambos")+COUNTIFS('Defensa'!$B$6:$B$10,$A101,'Defensa'!$E$6:$E$10,"Víctor")+COUNTIFS('Defensa'!$B$6:$B$10,$A101,'Defensa'!$E$6:$E$10,"Ambos")</f>
        <v/>
      </c>
      <c r="G101" s="21">
        <f>COUNTIFS('S1'!$B$6:$B$32,$A101,'S1'!$E$6:$E$32,"Diego")+COUNTIFS('S1'!$B$6:$B$32,$A101,'S1'!$E$6:$E$32,"Ambos")+COUNTIFS('S2'!$B$6:$B$23,$A101,'S2'!$E$6:$E$23,"Diego")+COUNTIFS('S2'!$B$6:$B$23,$A101,'S2'!$E$6:$E$23,"Ambos")+COUNTIFS('S3'!$B$6:$B$24,$A101,'S3'!$E$6:$E$24,"Diego")+COUNTIFS('S3'!$B$6:$B$24,$A101,'S3'!$E$6:$E$24,"Ambos")+COUNTIFS('S4'!$B$6:$B$22,$A101,'S4'!$E$6:$E$22,"Diego")+COUNTIFS('S4'!$B$6:$B$22,$A101,'S4'!$E$6:$E$22,"Ambos")+COUNTIFS('S5'!$B$6:$B$20,$A101,'S5'!$E$6:$E$20,"Diego")+COUNTIFS('S5'!$B$6:$B$20,$A101,'S5'!$E$6:$E$20,"Ambos")+COUNTIFS('S6'!$B$6:$B$17,$A101,'S6'!$E$6:$E$17,"Diego")+COUNTIFS('S6'!$B$6:$B$17,$A101,'S6'!$E$6:$E$17,"Ambos")+COUNTIFS('S7'!$B$6:$B$19,$A101,'S7'!$E$6:$E$19,"Diego")+COUNTIFS('S7'!$B$6:$B$19,$A101,'S7'!$E$6:$E$19,"Ambos")+COUNTIFS('S8'!$B$6:$B$23,$A101,'S8'!$E$6:$E$23,"Diego")+COUNTIFS('S8'!$B$6:$B$23,$A101,'S8'!$E$6:$E$23,"Ambos")+COUNTIFS('S9'!$B$6:$B$15,$A101,'S9'!$E$6:$E$15,"Diego")+COUNTIFS('S9'!$B$6:$B$15,$A101,'S9'!$E$6:$E$15,"Ambos")+COUNTIFS('S10'!$B$6:$B$13,$A101,'S10'!$E$6:$E$13,"Diego")+COUNTIFS('S10'!$B$6:$B$13,$A101,'S10'!$E$6:$E$13,"Ambos")+COUNTIFS('Holgura'!$B$6:$B$11,$A101,'Holgura'!$E$6:$E$11,"Diego")+COUNTIFS('Holgura'!$B$6:$B$11,$A101,'Holgura'!$E$6:$E$11,"Ambos")+COUNTIFS('Entrega'!$B$6:$B$9,$A101,'Entrega'!$E$6:$E$9,"Diego")+COUNTIFS('Entrega'!$B$6:$B$9,$A101,'Entrega'!$E$6:$E$9,"Ambos")+COUNTIFS('Defensa'!$B$6:$B$10,$A101,'Defensa'!$E$6:$E$10,"Diego")+COUNTIFS('Defensa'!$B$6:$B$10,$A101,'Defensa'!$E$6:$E$10,"Ambos")</f>
        <v/>
      </c>
    </row>
    <row r="102">
      <c r="A102" s="25" t="n">
        <v>46404</v>
      </c>
      <c r="B102" s="26">
        <f>A102</f>
        <v/>
      </c>
      <c r="C102" s="21">
        <f>IF(WEEKDAY(A102,2)&gt;5,4,2)</f>
        <v/>
      </c>
      <c r="D102" s="21">
        <f>SUMIFS('S1'!$I$6:$I$32,'S1'!$B$6:$B$32,$A102,'S1'!$E$6:$E$32,"Víctor")+SUMIFS('S1'!$I$6:$I$32,'S1'!$B$6:$B$32,$A102,'S1'!$E$6:$E$32,"Ambos")+SUMIFS('S2'!$I$6:$I$23,'S2'!$B$6:$B$23,$A102,'S2'!$E$6:$E$23,"Víctor")+SUMIFS('S2'!$I$6:$I$23,'S2'!$B$6:$B$23,$A102,'S2'!$E$6:$E$23,"Ambos")+SUMIFS('S3'!$I$6:$I$24,'S3'!$B$6:$B$24,$A102,'S3'!$E$6:$E$24,"Víctor")+SUMIFS('S3'!$I$6:$I$24,'S3'!$B$6:$B$24,$A102,'S3'!$E$6:$E$24,"Ambos")+SUMIFS('S4'!$I$6:$I$22,'S4'!$B$6:$B$22,$A102,'S4'!$E$6:$E$22,"Víctor")+SUMIFS('S4'!$I$6:$I$22,'S4'!$B$6:$B$22,$A102,'S4'!$E$6:$E$22,"Ambos")+SUMIFS('S5'!$I$6:$I$20,'S5'!$B$6:$B$20,$A102,'S5'!$E$6:$E$20,"Víctor")+SUMIFS('S5'!$I$6:$I$20,'S5'!$B$6:$B$20,$A102,'S5'!$E$6:$E$20,"Ambos")+SUMIFS('S6'!$I$6:$I$17,'S6'!$B$6:$B$17,$A102,'S6'!$E$6:$E$17,"Víctor")+SUMIFS('S6'!$I$6:$I$17,'S6'!$B$6:$B$17,$A102,'S6'!$E$6:$E$17,"Ambos")+SUMIFS('S7'!$I$6:$I$19,'S7'!$B$6:$B$19,$A102,'S7'!$E$6:$E$19,"Víctor")+SUMIFS('S7'!$I$6:$I$19,'S7'!$B$6:$B$19,$A102,'S7'!$E$6:$E$19,"Ambos")+SUMIFS('S8'!$I$6:$I$23,'S8'!$B$6:$B$23,$A102,'S8'!$E$6:$E$23,"Víctor")+SUMIFS('S8'!$I$6:$I$23,'S8'!$B$6:$B$23,$A102,'S8'!$E$6:$E$23,"Ambos")+SUMIFS('S9'!$I$6:$I$15,'S9'!$B$6:$B$15,$A102,'S9'!$E$6:$E$15,"Víctor")+SUMIFS('S9'!$I$6:$I$15,'S9'!$B$6:$B$15,$A102,'S9'!$E$6:$E$15,"Ambos")+SUMIFS('S10'!$I$6:$I$13,'S10'!$B$6:$B$13,$A102,'S10'!$E$6:$E$13,"Víctor")+SUMIFS('S10'!$I$6:$I$13,'S10'!$B$6:$B$13,$A102,'S10'!$E$6:$E$13,"Ambos")+SUMIFS('Holgura'!$I$6:$I$11,'Holgura'!$B$6:$B$11,$A102,'Holgura'!$E$6:$E$11,"Víctor")+SUMIFS('Holgura'!$I$6:$I$11,'Holgura'!$B$6:$B$11,$A102,'Holgura'!$E$6:$E$11,"Ambos")+SUMIFS('Entrega'!$I$6:$I$9,'Entrega'!$B$6:$B$9,$A102,'Entrega'!$E$6:$E$9,"Víctor")+SUMIFS('Entrega'!$I$6:$I$9,'Entrega'!$B$6:$B$9,$A102,'Entrega'!$E$6:$E$9,"Ambos")+SUMIFS('Defensa'!$I$6:$I$10,'Defensa'!$B$6:$B$10,$A102,'Defensa'!$E$6:$E$10,"Víctor")+SUMIFS('Defensa'!$I$6:$I$10,'Defensa'!$B$6:$B$10,$A102,'Defensa'!$E$6:$E$10,"Ambos")</f>
        <v/>
      </c>
      <c r="E102" s="21">
        <f>SUMIFS('S1'!$I$6:$I$32,'S1'!$B$6:$B$32,$A102,'S1'!$E$6:$E$32,"Diego")+SUMIFS('S1'!$I$6:$I$32,'S1'!$B$6:$B$32,$A102,'S1'!$E$6:$E$32,"Ambos")+SUMIFS('S2'!$I$6:$I$23,'S2'!$B$6:$B$23,$A102,'S2'!$E$6:$E$23,"Diego")+SUMIFS('S2'!$I$6:$I$23,'S2'!$B$6:$B$23,$A102,'S2'!$E$6:$E$23,"Ambos")+SUMIFS('S3'!$I$6:$I$24,'S3'!$B$6:$B$24,$A102,'S3'!$E$6:$E$24,"Diego")+SUMIFS('S3'!$I$6:$I$24,'S3'!$B$6:$B$24,$A102,'S3'!$E$6:$E$24,"Ambos")+SUMIFS('S4'!$I$6:$I$22,'S4'!$B$6:$B$22,$A102,'S4'!$E$6:$E$22,"Diego")+SUMIFS('S4'!$I$6:$I$22,'S4'!$B$6:$B$22,$A102,'S4'!$E$6:$E$22,"Ambos")+SUMIFS('S5'!$I$6:$I$20,'S5'!$B$6:$B$20,$A102,'S5'!$E$6:$E$20,"Diego")+SUMIFS('S5'!$I$6:$I$20,'S5'!$B$6:$B$20,$A102,'S5'!$E$6:$E$20,"Ambos")+SUMIFS('S6'!$I$6:$I$17,'S6'!$B$6:$B$17,$A102,'S6'!$E$6:$E$17,"Diego")+SUMIFS('S6'!$I$6:$I$17,'S6'!$B$6:$B$17,$A102,'S6'!$E$6:$E$17,"Ambos")+SUMIFS('S7'!$I$6:$I$19,'S7'!$B$6:$B$19,$A102,'S7'!$E$6:$E$19,"Diego")+SUMIFS('S7'!$I$6:$I$19,'S7'!$B$6:$B$19,$A102,'S7'!$E$6:$E$19,"Ambos")+SUMIFS('S8'!$I$6:$I$23,'S8'!$B$6:$B$23,$A102,'S8'!$E$6:$E$23,"Diego")+SUMIFS('S8'!$I$6:$I$23,'S8'!$B$6:$B$23,$A102,'S8'!$E$6:$E$23,"Ambos")+SUMIFS('S9'!$I$6:$I$15,'S9'!$B$6:$B$15,$A102,'S9'!$E$6:$E$15,"Diego")+SUMIFS('S9'!$I$6:$I$15,'S9'!$B$6:$B$15,$A102,'S9'!$E$6:$E$15,"Ambos")+SUMIFS('S10'!$I$6:$I$13,'S10'!$B$6:$B$13,$A102,'S10'!$E$6:$E$13,"Diego")+SUMIFS('S10'!$I$6:$I$13,'S10'!$B$6:$B$13,$A102,'S10'!$E$6:$E$13,"Ambos")+SUMIFS('Holgura'!$I$6:$I$11,'Holgura'!$B$6:$B$11,$A102,'Holgura'!$E$6:$E$11,"Diego")+SUMIFS('Holgura'!$I$6:$I$11,'Holgura'!$B$6:$B$11,$A102,'Holgura'!$E$6:$E$11,"Ambos")+SUMIFS('Entrega'!$I$6:$I$9,'Entrega'!$B$6:$B$9,$A102,'Entrega'!$E$6:$E$9,"Diego")+SUMIFS('Entrega'!$I$6:$I$9,'Entrega'!$B$6:$B$9,$A102,'Entrega'!$E$6:$E$9,"Ambos")+SUMIFS('Defensa'!$I$6:$I$10,'Defensa'!$B$6:$B$10,$A102,'Defensa'!$E$6:$E$10,"Diego")+SUMIFS('Defensa'!$I$6:$I$10,'Defensa'!$B$6:$B$10,$A102,'Defensa'!$E$6:$E$10,"Ambos")</f>
        <v/>
      </c>
      <c r="F102" s="21">
        <f>COUNTIFS('S1'!$B$6:$B$32,$A102,'S1'!$E$6:$E$32,"Víctor")+COUNTIFS('S1'!$B$6:$B$32,$A102,'S1'!$E$6:$E$32,"Ambos")+COUNTIFS('S2'!$B$6:$B$23,$A102,'S2'!$E$6:$E$23,"Víctor")+COUNTIFS('S2'!$B$6:$B$23,$A102,'S2'!$E$6:$E$23,"Ambos")+COUNTIFS('S3'!$B$6:$B$24,$A102,'S3'!$E$6:$E$24,"Víctor")+COUNTIFS('S3'!$B$6:$B$24,$A102,'S3'!$E$6:$E$24,"Ambos")+COUNTIFS('S4'!$B$6:$B$22,$A102,'S4'!$E$6:$E$22,"Víctor")+COUNTIFS('S4'!$B$6:$B$22,$A102,'S4'!$E$6:$E$22,"Ambos")+COUNTIFS('S5'!$B$6:$B$20,$A102,'S5'!$E$6:$E$20,"Víctor")+COUNTIFS('S5'!$B$6:$B$20,$A102,'S5'!$E$6:$E$20,"Ambos")+COUNTIFS('S6'!$B$6:$B$17,$A102,'S6'!$E$6:$E$17,"Víctor")+COUNTIFS('S6'!$B$6:$B$17,$A102,'S6'!$E$6:$E$17,"Ambos")+COUNTIFS('S7'!$B$6:$B$19,$A102,'S7'!$E$6:$E$19,"Víctor")+COUNTIFS('S7'!$B$6:$B$19,$A102,'S7'!$E$6:$E$19,"Ambos")+COUNTIFS('S8'!$B$6:$B$23,$A102,'S8'!$E$6:$E$23,"Víctor")+COUNTIFS('S8'!$B$6:$B$23,$A102,'S8'!$E$6:$E$23,"Ambos")+COUNTIFS('S9'!$B$6:$B$15,$A102,'S9'!$E$6:$E$15,"Víctor")+COUNTIFS('S9'!$B$6:$B$15,$A102,'S9'!$E$6:$E$15,"Ambos")+COUNTIFS('S10'!$B$6:$B$13,$A102,'S10'!$E$6:$E$13,"Víctor")+COUNTIFS('S10'!$B$6:$B$13,$A102,'S10'!$E$6:$E$13,"Ambos")+COUNTIFS('Holgura'!$B$6:$B$11,$A102,'Holgura'!$E$6:$E$11,"Víctor")+COUNTIFS('Holgura'!$B$6:$B$11,$A102,'Holgura'!$E$6:$E$11,"Ambos")+COUNTIFS('Entrega'!$B$6:$B$9,$A102,'Entrega'!$E$6:$E$9,"Víctor")+COUNTIFS('Entrega'!$B$6:$B$9,$A102,'Entrega'!$E$6:$E$9,"Ambos")+COUNTIFS('Defensa'!$B$6:$B$10,$A102,'Defensa'!$E$6:$E$10,"Víctor")+COUNTIFS('Defensa'!$B$6:$B$10,$A102,'Defensa'!$E$6:$E$10,"Ambos")</f>
        <v/>
      </c>
      <c r="G102" s="21">
        <f>COUNTIFS('S1'!$B$6:$B$32,$A102,'S1'!$E$6:$E$32,"Diego")+COUNTIFS('S1'!$B$6:$B$32,$A102,'S1'!$E$6:$E$32,"Ambos")+COUNTIFS('S2'!$B$6:$B$23,$A102,'S2'!$E$6:$E$23,"Diego")+COUNTIFS('S2'!$B$6:$B$23,$A102,'S2'!$E$6:$E$23,"Ambos")+COUNTIFS('S3'!$B$6:$B$24,$A102,'S3'!$E$6:$E$24,"Diego")+COUNTIFS('S3'!$B$6:$B$24,$A102,'S3'!$E$6:$E$24,"Ambos")+COUNTIFS('S4'!$B$6:$B$22,$A102,'S4'!$E$6:$E$22,"Diego")+COUNTIFS('S4'!$B$6:$B$22,$A102,'S4'!$E$6:$E$22,"Ambos")+COUNTIFS('S5'!$B$6:$B$20,$A102,'S5'!$E$6:$E$20,"Diego")+COUNTIFS('S5'!$B$6:$B$20,$A102,'S5'!$E$6:$E$20,"Ambos")+COUNTIFS('S6'!$B$6:$B$17,$A102,'S6'!$E$6:$E$17,"Diego")+COUNTIFS('S6'!$B$6:$B$17,$A102,'S6'!$E$6:$E$17,"Ambos")+COUNTIFS('S7'!$B$6:$B$19,$A102,'S7'!$E$6:$E$19,"Diego")+COUNTIFS('S7'!$B$6:$B$19,$A102,'S7'!$E$6:$E$19,"Ambos")+COUNTIFS('S8'!$B$6:$B$23,$A102,'S8'!$E$6:$E$23,"Diego")+COUNTIFS('S8'!$B$6:$B$23,$A102,'S8'!$E$6:$E$23,"Ambos")+COUNTIFS('S9'!$B$6:$B$15,$A102,'S9'!$E$6:$E$15,"Diego")+COUNTIFS('S9'!$B$6:$B$15,$A102,'S9'!$E$6:$E$15,"Ambos")+COUNTIFS('S10'!$B$6:$B$13,$A102,'S10'!$E$6:$E$13,"Diego")+COUNTIFS('S10'!$B$6:$B$13,$A102,'S10'!$E$6:$E$13,"Ambos")+COUNTIFS('Holgura'!$B$6:$B$11,$A102,'Holgura'!$E$6:$E$11,"Diego")+COUNTIFS('Holgura'!$B$6:$B$11,$A102,'Holgura'!$E$6:$E$11,"Ambos")+COUNTIFS('Entrega'!$B$6:$B$9,$A102,'Entrega'!$E$6:$E$9,"Diego")+COUNTIFS('Entrega'!$B$6:$B$9,$A102,'Entrega'!$E$6:$E$9,"Ambos")+COUNTIFS('Defensa'!$B$6:$B$10,$A102,'Defensa'!$E$6:$E$10,"Diego")+COUNTIFS('Defensa'!$B$6:$B$10,$A102,'Defensa'!$E$6:$E$10,"Ambos")</f>
        <v/>
      </c>
    </row>
    <row r="103">
      <c r="A103" s="25" t="n">
        <v>46405</v>
      </c>
      <c r="B103" s="26">
        <f>A103</f>
        <v/>
      </c>
      <c r="C103" s="21">
        <f>IF(WEEKDAY(A103,2)&gt;5,4,2)</f>
        <v/>
      </c>
      <c r="D103" s="21">
        <f>SUMIFS('S1'!$I$6:$I$32,'S1'!$B$6:$B$32,$A103,'S1'!$E$6:$E$32,"Víctor")+SUMIFS('S1'!$I$6:$I$32,'S1'!$B$6:$B$32,$A103,'S1'!$E$6:$E$32,"Ambos")+SUMIFS('S2'!$I$6:$I$23,'S2'!$B$6:$B$23,$A103,'S2'!$E$6:$E$23,"Víctor")+SUMIFS('S2'!$I$6:$I$23,'S2'!$B$6:$B$23,$A103,'S2'!$E$6:$E$23,"Ambos")+SUMIFS('S3'!$I$6:$I$24,'S3'!$B$6:$B$24,$A103,'S3'!$E$6:$E$24,"Víctor")+SUMIFS('S3'!$I$6:$I$24,'S3'!$B$6:$B$24,$A103,'S3'!$E$6:$E$24,"Ambos")+SUMIFS('S4'!$I$6:$I$22,'S4'!$B$6:$B$22,$A103,'S4'!$E$6:$E$22,"Víctor")+SUMIFS('S4'!$I$6:$I$22,'S4'!$B$6:$B$22,$A103,'S4'!$E$6:$E$22,"Ambos")+SUMIFS('S5'!$I$6:$I$20,'S5'!$B$6:$B$20,$A103,'S5'!$E$6:$E$20,"Víctor")+SUMIFS('S5'!$I$6:$I$20,'S5'!$B$6:$B$20,$A103,'S5'!$E$6:$E$20,"Ambos")+SUMIFS('S6'!$I$6:$I$17,'S6'!$B$6:$B$17,$A103,'S6'!$E$6:$E$17,"Víctor")+SUMIFS('S6'!$I$6:$I$17,'S6'!$B$6:$B$17,$A103,'S6'!$E$6:$E$17,"Ambos")+SUMIFS('S7'!$I$6:$I$19,'S7'!$B$6:$B$19,$A103,'S7'!$E$6:$E$19,"Víctor")+SUMIFS('S7'!$I$6:$I$19,'S7'!$B$6:$B$19,$A103,'S7'!$E$6:$E$19,"Ambos")+SUMIFS('S8'!$I$6:$I$23,'S8'!$B$6:$B$23,$A103,'S8'!$E$6:$E$23,"Víctor")+SUMIFS('S8'!$I$6:$I$23,'S8'!$B$6:$B$23,$A103,'S8'!$E$6:$E$23,"Ambos")+SUMIFS('S9'!$I$6:$I$15,'S9'!$B$6:$B$15,$A103,'S9'!$E$6:$E$15,"Víctor")+SUMIFS('S9'!$I$6:$I$15,'S9'!$B$6:$B$15,$A103,'S9'!$E$6:$E$15,"Ambos")+SUMIFS('S10'!$I$6:$I$13,'S10'!$B$6:$B$13,$A103,'S10'!$E$6:$E$13,"Víctor")+SUMIFS('S10'!$I$6:$I$13,'S10'!$B$6:$B$13,$A103,'S10'!$E$6:$E$13,"Ambos")+SUMIFS('Holgura'!$I$6:$I$11,'Holgura'!$B$6:$B$11,$A103,'Holgura'!$E$6:$E$11,"Víctor")+SUMIFS('Holgura'!$I$6:$I$11,'Holgura'!$B$6:$B$11,$A103,'Holgura'!$E$6:$E$11,"Ambos")+SUMIFS('Entrega'!$I$6:$I$9,'Entrega'!$B$6:$B$9,$A103,'Entrega'!$E$6:$E$9,"Víctor")+SUMIFS('Entrega'!$I$6:$I$9,'Entrega'!$B$6:$B$9,$A103,'Entrega'!$E$6:$E$9,"Ambos")+SUMIFS('Defensa'!$I$6:$I$10,'Defensa'!$B$6:$B$10,$A103,'Defensa'!$E$6:$E$10,"Víctor")+SUMIFS('Defensa'!$I$6:$I$10,'Defensa'!$B$6:$B$10,$A103,'Defensa'!$E$6:$E$10,"Ambos")</f>
        <v/>
      </c>
      <c r="E103" s="21">
        <f>SUMIFS('S1'!$I$6:$I$32,'S1'!$B$6:$B$32,$A103,'S1'!$E$6:$E$32,"Diego")+SUMIFS('S1'!$I$6:$I$32,'S1'!$B$6:$B$32,$A103,'S1'!$E$6:$E$32,"Ambos")+SUMIFS('S2'!$I$6:$I$23,'S2'!$B$6:$B$23,$A103,'S2'!$E$6:$E$23,"Diego")+SUMIFS('S2'!$I$6:$I$23,'S2'!$B$6:$B$23,$A103,'S2'!$E$6:$E$23,"Ambos")+SUMIFS('S3'!$I$6:$I$24,'S3'!$B$6:$B$24,$A103,'S3'!$E$6:$E$24,"Diego")+SUMIFS('S3'!$I$6:$I$24,'S3'!$B$6:$B$24,$A103,'S3'!$E$6:$E$24,"Ambos")+SUMIFS('S4'!$I$6:$I$22,'S4'!$B$6:$B$22,$A103,'S4'!$E$6:$E$22,"Diego")+SUMIFS('S4'!$I$6:$I$22,'S4'!$B$6:$B$22,$A103,'S4'!$E$6:$E$22,"Ambos")+SUMIFS('S5'!$I$6:$I$20,'S5'!$B$6:$B$20,$A103,'S5'!$E$6:$E$20,"Diego")+SUMIFS('S5'!$I$6:$I$20,'S5'!$B$6:$B$20,$A103,'S5'!$E$6:$E$20,"Ambos")+SUMIFS('S6'!$I$6:$I$17,'S6'!$B$6:$B$17,$A103,'S6'!$E$6:$E$17,"Diego")+SUMIFS('S6'!$I$6:$I$17,'S6'!$B$6:$B$17,$A103,'S6'!$E$6:$E$17,"Ambos")+SUMIFS('S7'!$I$6:$I$19,'S7'!$B$6:$B$19,$A103,'S7'!$E$6:$E$19,"Diego")+SUMIFS('S7'!$I$6:$I$19,'S7'!$B$6:$B$19,$A103,'S7'!$E$6:$E$19,"Ambos")+SUMIFS('S8'!$I$6:$I$23,'S8'!$B$6:$B$23,$A103,'S8'!$E$6:$E$23,"Diego")+SUMIFS('S8'!$I$6:$I$23,'S8'!$B$6:$B$23,$A103,'S8'!$E$6:$E$23,"Ambos")+SUMIFS('S9'!$I$6:$I$15,'S9'!$B$6:$B$15,$A103,'S9'!$E$6:$E$15,"Diego")+SUMIFS('S9'!$I$6:$I$15,'S9'!$B$6:$B$15,$A103,'S9'!$E$6:$E$15,"Ambos")+SUMIFS('S10'!$I$6:$I$13,'S10'!$B$6:$B$13,$A103,'S10'!$E$6:$E$13,"Diego")+SUMIFS('S10'!$I$6:$I$13,'S10'!$B$6:$B$13,$A103,'S10'!$E$6:$E$13,"Ambos")+SUMIFS('Holgura'!$I$6:$I$11,'Holgura'!$B$6:$B$11,$A103,'Holgura'!$E$6:$E$11,"Diego")+SUMIFS('Holgura'!$I$6:$I$11,'Holgura'!$B$6:$B$11,$A103,'Holgura'!$E$6:$E$11,"Ambos")+SUMIFS('Entrega'!$I$6:$I$9,'Entrega'!$B$6:$B$9,$A103,'Entrega'!$E$6:$E$9,"Diego")+SUMIFS('Entrega'!$I$6:$I$9,'Entrega'!$B$6:$B$9,$A103,'Entrega'!$E$6:$E$9,"Ambos")+SUMIFS('Defensa'!$I$6:$I$10,'Defensa'!$B$6:$B$10,$A103,'Defensa'!$E$6:$E$10,"Diego")+SUMIFS('Defensa'!$I$6:$I$10,'Defensa'!$B$6:$B$10,$A103,'Defensa'!$E$6:$E$10,"Ambos")</f>
        <v/>
      </c>
      <c r="F103" s="21">
        <f>COUNTIFS('S1'!$B$6:$B$32,$A103,'S1'!$E$6:$E$32,"Víctor")+COUNTIFS('S1'!$B$6:$B$32,$A103,'S1'!$E$6:$E$32,"Ambos")+COUNTIFS('S2'!$B$6:$B$23,$A103,'S2'!$E$6:$E$23,"Víctor")+COUNTIFS('S2'!$B$6:$B$23,$A103,'S2'!$E$6:$E$23,"Ambos")+COUNTIFS('S3'!$B$6:$B$24,$A103,'S3'!$E$6:$E$24,"Víctor")+COUNTIFS('S3'!$B$6:$B$24,$A103,'S3'!$E$6:$E$24,"Ambos")+COUNTIFS('S4'!$B$6:$B$22,$A103,'S4'!$E$6:$E$22,"Víctor")+COUNTIFS('S4'!$B$6:$B$22,$A103,'S4'!$E$6:$E$22,"Ambos")+COUNTIFS('S5'!$B$6:$B$20,$A103,'S5'!$E$6:$E$20,"Víctor")+COUNTIFS('S5'!$B$6:$B$20,$A103,'S5'!$E$6:$E$20,"Ambos")+COUNTIFS('S6'!$B$6:$B$17,$A103,'S6'!$E$6:$E$17,"Víctor")+COUNTIFS('S6'!$B$6:$B$17,$A103,'S6'!$E$6:$E$17,"Ambos")+COUNTIFS('S7'!$B$6:$B$19,$A103,'S7'!$E$6:$E$19,"Víctor")+COUNTIFS('S7'!$B$6:$B$19,$A103,'S7'!$E$6:$E$19,"Ambos")+COUNTIFS('S8'!$B$6:$B$23,$A103,'S8'!$E$6:$E$23,"Víctor")+COUNTIFS('S8'!$B$6:$B$23,$A103,'S8'!$E$6:$E$23,"Ambos")+COUNTIFS('S9'!$B$6:$B$15,$A103,'S9'!$E$6:$E$15,"Víctor")+COUNTIFS('S9'!$B$6:$B$15,$A103,'S9'!$E$6:$E$15,"Ambos")+COUNTIFS('S10'!$B$6:$B$13,$A103,'S10'!$E$6:$E$13,"Víctor")+COUNTIFS('S10'!$B$6:$B$13,$A103,'S10'!$E$6:$E$13,"Ambos")+COUNTIFS('Holgura'!$B$6:$B$11,$A103,'Holgura'!$E$6:$E$11,"Víctor")+COUNTIFS('Holgura'!$B$6:$B$11,$A103,'Holgura'!$E$6:$E$11,"Ambos")+COUNTIFS('Entrega'!$B$6:$B$9,$A103,'Entrega'!$E$6:$E$9,"Víctor")+COUNTIFS('Entrega'!$B$6:$B$9,$A103,'Entrega'!$E$6:$E$9,"Ambos")+COUNTIFS('Defensa'!$B$6:$B$10,$A103,'Defensa'!$E$6:$E$10,"Víctor")+COUNTIFS('Defensa'!$B$6:$B$10,$A103,'Defensa'!$E$6:$E$10,"Ambos")</f>
        <v/>
      </c>
      <c r="G103" s="21">
        <f>COUNTIFS('S1'!$B$6:$B$32,$A103,'S1'!$E$6:$E$32,"Diego")+COUNTIFS('S1'!$B$6:$B$32,$A103,'S1'!$E$6:$E$32,"Ambos")+COUNTIFS('S2'!$B$6:$B$23,$A103,'S2'!$E$6:$E$23,"Diego")+COUNTIFS('S2'!$B$6:$B$23,$A103,'S2'!$E$6:$E$23,"Ambos")+COUNTIFS('S3'!$B$6:$B$24,$A103,'S3'!$E$6:$E$24,"Diego")+COUNTIFS('S3'!$B$6:$B$24,$A103,'S3'!$E$6:$E$24,"Ambos")+COUNTIFS('S4'!$B$6:$B$22,$A103,'S4'!$E$6:$E$22,"Diego")+COUNTIFS('S4'!$B$6:$B$22,$A103,'S4'!$E$6:$E$22,"Ambos")+COUNTIFS('S5'!$B$6:$B$20,$A103,'S5'!$E$6:$E$20,"Diego")+COUNTIFS('S5'!$B$6:$B$20,$A103,'S5'!$E$6:$E$20,"Ambos")+COUNTIFS('S6'!$B$6:$B$17,$A103,'S6'!$E$6:$E$17,"Diego")+COUNTIFS('S6'!$B$6:$B$17,$A103,'S6'!$E$6:$E$17,"Ambos")+COUNTIFS('S7'!$B$6:$B$19,$A103,'S7'!$E$6:$E$19,"Diego")+COUNTIFS('S7'!$B$6:$B$19,$A103,'S7'!$E$6:$E$19,"Ambos")+COUNTIFS('S8'!$B$6:$B$23,$A103,'S8'!$E$6:$E$23,"Diego")+COUNTIFS('S8'!$B$6:$B$23,$A103,'S8'!$E$6:$E$23,"Ambos")+COUNTIFS('S9'!$B$6:$B$15,$A103,'S9'!$E$6:$E$15,"Diego")+COUNTIFS('S9'!$B$6:$B$15,$A103,'S9'!$E$6:$E$15,"Ambos")+COUNTIFS('S10'!$B$6:$B$13,$A103,'S10'!$E$6:$E$13,"Diego")+COUNTIFS('S10'!$B$6:$B$13,$A103,'S10'!$E$6:$E$13,"Ambos")+COUNTIFS('Holgura'!$B$6:$B$11,$A103,'Holgura'!$E$6:$E$11,"Diego")+COUNTIFS('Holgura'!$B$6:$B$11,$A103,'Holgura'!$E$6:$E$11,"Ambos")+COUNTIFS('Entrega'!$B$6:$B$9,$A103,'Entrega'!$E$6:$E$9,"Diego")+COUNTIFS('Entrega'!$B$6:$B$9,$A103,'Entrega'!$E$6:$E$9,"Ambos")+COUNTIFS('Defensa'!$B$6:$B$10,$A103,'Defensa'!$E$6:$E$10,"Diego")+COUNTIFS('Defensa'!$B$6:$B$10,$A103,'Defensa'!$E$6:$E$10,"Ambos")</f>
        <v/>
      </c>
    </row>
    <row r="104">
      <c r="A104" s="25" t="n">
        <v>46406</v>
      </c>
      <c r="B104" s="26">
        <f>A104</f>
        <v/>
      </c>
      <c r="C104" s="21">
        <f>IF(WEEKDAY(A104,2)&gt;5,4,2)</f>
        <v/>
      </c>
      <c r="D104" s="21">
        <f>SUMIFS('S1'!$I$6:$I$32,'S1'!$B$6:$B$32,$A104,'S1'!$E$6:$E$32,"Víctor")+SUMIFS('S1'!$I$6:$I$32,'S1'!$B$6:$B$32,$A104,'S1'!$E$6:$E$32,"Ambos")+SUMIFS('S2'!$I$6:$I$23,'S2'!$B$6:$B$23,$A104,'S2'!$E$6:$E$23,"Víctor")+SUMIFS('S2'!$I$6:$I$23,'S2'!$B$6:$B$23,$A104,'S2'!$E$6:$E$23,"Ambos")+SUMIFS('S3'!$I$6:$I$24,'S3'!$B$6:$B$24,$A104,'S3'!$E$6:$E$24,"Víctor")+SUMIFS('S3'!$I$6:$I$24,'S3'!$B$6:$B$24,$A104,'S3'!$E$6:$E$24,"Ambos")+SUMIFS('S4'!$I$6:$I$22,'S4'!$B$6:$B$22,$A104,'S4'!$E$6:$E$22,"Víctor")+SUMIFS('S4'!$I$6:$I$22,'S4'!$B$6:$B$22,$A104,'S4'!$E$6:$E$22,"Ambos")+SUMIFS('S5'!$I$6:$I$20,'S5'!$B$6:$B$20,$A104,'S5'!$E$6:$E$20,"Víctor")+SUMIFS('S5'!$I$6:$I$20,'S5'!$B$6:$B$20,$A104,'S5'!$E$6:$E$20,"Ambos")+SUMIFS('S6'!$I$6:$I$17,'S6'!$B$6:$B$17,$A104,'S6'!$E$6:$E$17,"Víctor")+SUMIFS('S6'!$I$6:$I$17,'S6'!$B$6:$B$17,$A104,'S6'!$E$6:$E$17,"Ambos")+SUMIFS('S7'!$I$6:$I$19,'S7'!$B$6:$B$19,$A104,'S7'!$E$6:$E$19,"Víctor")+SUMIFS('S7'!$I$6:$I$19,'S7'!$B$6:$B$19,$A104,'S7'!$E$6:$E$19,"Ambos")+SUMIFS('S8'!$I$6:$I$23,'S8'!$B$6:$B$23,$A104,'S8'!$E$6:$E$23,"Víctor")+SUMIFS('S8'!$I$6:$I$23,'S8'!$B$6:$B$23,$A104,'S8'!$E$6:$E$23,"Ambos")+SUMIFS('S9'!$I$6:$I$15,'S9'!$B$6:$B$15,$A104,'S9'!$E$6:$E$15,"Víctor")+SUMIFS('S9'!$I$6:$I$15,'S9'!$B$6:$B$15,$A104,'S9'!$E$6:$E$15,"Ambos")+SUMIFS('S10'!$I$6:$I$13,'S10'!$B$6:$B$13,$A104,'S10'!$E$6:$E$13,"Víctor")+SUMIFS('S10'!$I$6:$I$13,'S10'!$B$6:$B$13,$A104,'S10'!$E$6:$E$13,"Ambos")+SUMIFS('Holgura'!$I$6:$I$11,'Holgura'!$B$6:$B$11,$A104,'Holgura'!$E$6:$E$11,"Víctor")+SUMIFS('Holgura'!$I$6:$I$11,'Holgura'!$B$6:$B$11,$A104,'Holgura'!$E$6:$E$11,"Ambos")+SUMIFS('Entrega'!$I$6:$I$9,'Entrega'!$B$6:$B$9,$A104,'Entrega'!$E$6:$E$9,"Víctor")+SUMIFS('Entrega'!$I$6:$I$9,'Entrega'!$B$6:$B$9,$A104,'Entrega'!$E$6:$E$9,"Ambos")+SUMIFS('Defensa'!$I$6:$I$10,'Defensa'!$B$6:$B$10,$A104,'Defensa'!$E$6:$E$10,"Víctor")+SUMIFS('Defensa'!$I$6:$I$10,'Defensa'!$B$6:$B$10,$A104,'Defensa'!$E$6:$E$10,"Ambos")</f>
        <v/>
      </c>
      <c r="E104" s="21">
        <f>SUMIFS('S1'!$I$6:$I$32,'S1'!$B$6:$B$32,$A104,'S1'!$E$6:$E$32,"Diego")+SUMIFS('S1'!$I$6:$I$32,'S1'!$B$6:$B$32,$A104,'S1'!$E$6:$E$32,"Ambos")+SUMIFS('S2'!$I$6:$I$23,'S2'!$B$6:$B$23,$A104,'S2'!$E$6:$E$23,"Diego")+SUMIFS('S2'!$I$6:$I$23,'S2'!$B$6:$B$23,$A104,'S2'!$E$6:$E$23,"Ambos")+SUMIFS('S3'!$I$6:$I$24,'S3'!$B$6:$B$24,$A104,'S3'!$E$6:$E$24,"Diego")+SUMIFS('S3'!$I$6:$I$24,'S3'!$B$6:$B$24,$A104,'S3'!$E$6:$E$24,"Ambos")+SUMIFS('S4'!$I$6:$I$22,'S4'!$B$6:$B$22,$A104,'S4'!$E$6:$E$22,"Diego")+SUMIFS('S4'!$I$6:$I$22,'S4'!$B$6:$B$22,$A104,'S4'!$E$6:$E$22,"Ambos")+SUMIFS('S5'!$I$6:$I$20,'S5'!$B$6:$B$20,$A104,'S5'!$E$6:$E$20,"Diego")+SUMIFS('S5'!$I$6:$I$20,'S5'!$B$6:$B$20,$A104,'S5'!$E$6:$E$20,"Ambos")+SUMIFS('S6'!$I$6:$I$17,'S6'!$B$6:$B$17,$A104,'S6'!$E$6:$E$17,"Diego")+SUMIFS('S6'!$I$6:$I$17,'S6'!$B$6:$B$17,$A104,'S6'!$E$6:$E$17,"Ambos")+SUMIFS('S7'!$I$6:$I$19,'S7'!$B$6:$B$19,$A104,'S7'!$E$6:$E$19,"Diego")+SUMIFS('S7'!$I$6:$I$19,'S7'!$B$6:$B$19,$A104,'S7'!$E$6:$E$19,"Ambos")+SUMIFS('S8'!$I$6:$I$23,'S8'!$B$6:$B$23,$A104,'S8'!$E$6:$E$23,"Diego")+SUMIFS('S8'!$I$6:$I$23,'S8'!$B$6:$B$23,$A104,'S8'!$E$6:$E$23,"Ambos")+SUMIFS('S9'!$I$6:$I$15,'S9'!$B$6:$B$15,$A104,'S9'!$E$6:$E$15,"Diego")+SUMIFS('S9'!$I$6:$I$15,'S9'!$B$6:$B$15,$A104,'S9'!$E$6:$E$15,"Ambos")+SUMIFS('S10'!$I$6:$I$13,'S10'!$B$6:$B$13,$A104,'S10'!$E$6:$E$13,"Diego")+SUMIFS('S10'!$I$6:$I$13,'S10'!$B$6:$B$13,$A104,'S10'!$E$6:$E$13,"Ambos")+SUMIFS('Holgura'!$I$6:$I$11,'Holgura'!$B$6:$B$11,$A104,'Holgura'!$E$6:$E$11,"Diego")+SUMIFS('Holgura'!$I$6:$I$11,'Holgura'!$B$6:$B$11,$A104,'Holgura'!$E$6:$E$11,"Ambos")+SUMIFS('Entrega'!$I$6:$I$9,'Entrega'!$B$6:$B$9,$A104,'Entrega'!$E$6:$E$9,"Diego")+SUMIFS('Entrega'!$I$6:$I$9,'Entrega'!$B$6:$B$9,$A104,'Entrega'!$E$6:$E$9,"Ambos")+SUMIFS('Defensa'!$I$6:$I$10,'Defensa'!$B$6:$B$10,$A104,'Defensa'!$E$6:$E$10,"Diego")+SUMIFS('Defensa'!$I$6:$I$10,'Defensa'!$B$6:$B$10,$A104,'Defensa'!$E$6:$E$10,"Ambos")</f>
        <v/>
      </c>
      <c r="F104" s="21">
        <f>COUNTIFS('S1'!$B$6:$B$32,$A104,'S1'!$E$6:$E$32,"Víctor")+COUNTIFS('S1'!$B$6:$B$32,$A104,'S1'!$E$6:$E$32,"Ambos")+COUNTIFS('S2'!$B$6:$B$23,$A104,'S2'!$E$6:$E$23,"Víctor")+COUNTIFS('S2'!$B$6:$B$23,$A104,'S2'!$E$6:$E$23,"Ambos")+COUNTIFS('S3'!$B$6:$B$24,$A104,'S3'!$E$6:$E$24,"Víctor")+COUNTIFS('S3'!$B$6:$B$24,$A104,'S3'!$E$6:$E$24,"Ambos")+COUNTIFS('S4'!$B$6:$B$22,$A104,'S4'!$E$6:$E$22,"Víctor")+COUNTIFS('S4'!$B$6:$B$22,$A104,'S4'!$E$6:$E$22,"Ambos")+COUNTIFS('S5'!$B$6:$B$20,$A104,'S5'!$E$6:$E$20,"Víctor")+COUNTIFS('S5'!$B$6:$B$20,$A104,'S5'!$E$6:$E$20,"Ambos")+COUNTIFS('S6'!$B$6:$B$17,$A104,'S6'!$E$6:$E$17,"Víctor")+COUNTIFS('S6'!$B$6:$B$17,$A104,'S6'!$E$6:$E$17,"Ambos")+COUNTIFS('S7'!$B$6:$B$19,$A104,'S7'!$E$6:$E$19,"Víctor")+COUNTIFS('S7'!$B$6:$B$19,$A104,'S7'!$E$6:$E$19,"Ambos")+COUNTIFS('S8'!$B$6:$B$23,$A104,'S8'!$E$6:$E$23,"Víctor")+COUNTIFS('S8'!$B$6:$B$23,$A104,'S8'!$E$6:$E$23,"Ambos")+COUNTIFS('S9'!$B$6:$B$15,$A104,'S9'!$E$6:$E$15,"Víctor")+COUNTIFS('S9'!$B$6:$B$15,$A104,'S9'!$E$6:$E$15,"Ambos")+COUNTIFS('S10'!$B$6:$B$13,$A104,'S10'!$E$6:$E$13,"Víctor")+COUNTIFS('S10'!$B$6:$B$13,$A104,'S10'!$E$6:$E$13,"Ambos")+COUNTIFS('Holgura'!$B$6:$B$11,$A104,'Holgura'!$E$6:$E$11,"Víctor")+COUNTIFS('Holgura'!$B$6:$B$11,$A104,'Holgura'!$E$6:$E$11,"Ambos")+COUNTIFS('Entrega'!$B$6:$B$9,$A104,'Entrega'!$E$6:$E$9,"Víctor")+COUNTIFS('Entrega'!$B$6:$B$9,$A104,'Entrega'!$E$6:$E$9,"Ambos")+COUNTIFS('Defensa'!$B$6:$B$10,$A104,'Defensa'!$E$6:$E$10,"Víctor")+COUNTIFS('Defensa'!$B$6:$B$10,$A104,'Defensa'!$E$6:$E$10,"Ambos")</f>
        <v/>
      </c>
      <c r="G104" s="21">
        <f>COUNTIFS('S1'!$B$6:$B$32,$A104,'S1'!$E$6:$E$32,"Diego")+COUNTIFS('S1'!$B$6:$B$32,$A104,'S1'!$E$6:$E$32,"Ambos")+COUNTIFS('S2'!$B$6:$B$23,$A104,'S2'!$E$6:$E$23,"Diego")+COUNTIFS('S2'!$B$6:$B$23,$A104,'S2'!$E$6:$E$23,"Ambos")+COUNTIFS('S3'!$B$6:$B$24,$A104,'S3'!$E$6:$E$24,"Diego")+COUNTIFS('S3'!$B$6:$B$24,$A104,'S3'!$E$6:$E$24,"Ambos")+COUNTIFS('S4'!$B$6:$B$22,$A104,'S4'!$E$6:$E$22,"Diego")+COUNTIFS('S4'!$B$6:$B$22,$A104,'S4'!$E$6:$E$22,"Ambos")+COUNTIFS('S5'!$B$6:$B$20,$A104,'S5'!$E$6:$E$20,"Diego")+COUNTIFS('S5'!$B$6:$B$20,$A104,'S5'!$E$6:$E$20,"Ambos")+COUNTIFS('S6'!$B$6:$B$17,$A104,'S6'!$E$6:$E$17,"Diego")+COUNTIFS('S6'!$B$6:$B$17,$A104,'S6'!$E$6:$E$17,"Ambos")+COUNTIFS('S7'!$B$6:$B$19,$A104,'S7'!$E$6:$E$19,"Diego")+COUNTIFS('S7'!$B$6:$B$19,$A104,'S7'!$E$6:$E$19,"Ambos")+COUNTIFS('S8'!$B$6:$B$23,$A104,'S8'!$E$6:$E$23,"Diego")+COUNTIFS('S8'!$B$6:$B$23,$A104,'S8'!$E$6:$E$23,"Ambos")+COUNTIFS('S9'!$B$6:$B$15,$A104,'S9'!$E$6:$E$15,"Diego")+COUNTIFS('S9'!$B$6:$B$15,$A104,'S9'!$E$6:$E$15,"Ambos")+COUNTIFS('S10'!$B$6:$B$13,$A104,'S10'!$E$6:$E$13,"Diego")+COUNTIFS('S10'!$B$6:$B$13,$A104,'S10'!$E$6:$E$13,"Ambos")+COUNTIFS('Holgura'!$B$6:$B$11,$A104,'Holgura'!$E$6:$E$11,"Diego")+COUNTIFS('Holgura'!$B$6:$B$11,$A104,'Holgura'!$E$6:$E$11,"Ambos")+COUNTIFS('Entrega'!$B$6:$B$9,$A104,'Entrega'!$E$6:$E$9,"Diego")+COUNTIFS('Entrega'!$B$6:$B$9,$A104,'Entrega'!$E$6:$E$9,"Ambos")+COUNTIFS('Defensa'!$B$6:$B$10,$A104,'Defensa'!$E$6:$E$10,"Diego")+COUNTIFS('Defensa'!$B$6:$B$10,$A104,'Defensa'!$E$6:$E$10,"Ambos")</f>
        <v/>
      </c>
    </row>
    <row r="105">
      <c r="A105" s="25" t="n">
        <v>46407</v>
      </c>
      <c r="B105" s="26">
        <f>A105</f>
        <v/>
      </c>
      <c r="C105" s="21">
        <f>IF(WEEKDAY(A105,2)&gt;5,4,2)</f>
        <v/>
      </c>
      <c r="D105" s="21">
        <f>SUMIFS('S1'!$I$6:$I$32,'S1'!$B$6:$B$32,$A105,'S1'!$E$6:$E$32,"Víctor")+SUMIFS('S1'!$I$6:$I$32,'S1'!$B$6:$B$32,$A105,'S1'!$E$6:$E$32,"Ambos")+SUMIFS('S2'!$I$6:$I$23,'S2'!$B$6:$B$23,$A105,'S2'!$E$6:$E$23,"Víctor")+SUMIFS('S2'!$I$6:$I$23,'S2'!$B$6:$B$23,$A105,'S2'!$E$6:$E$23,"Ambos")+SUMIFS('S3'!$I$6:$I$24,'S3'!$B$6:$B$24,$A105,'S3'!$E$6:$E$24,"Víctor")+SUMIFS('S3'!$I$6:$I$24,'S3'!$B$6:$B$24,$A105,'S3'!$E$6:$E$24,"Ambos")+SUMIFS('S4'!$I$6:$I$22,'S4'!$B$6:$B$22,$A105,'S4'!$E$6:$E$22,"Víctor")+SUMIFS('S4'!$I$6:$I$22,'S4'!$B$6:$B$22,$A105,'S4'!$E$6:$E$22,"Ambos")+SUMIFS('S5'!$I$6:$I$20,'S5'!$B$6:$B$20,$A105,'S5'!$E$6:$E$20,"Víctor")+SUMIFS('S5'!$I$6:$I$20,'S5'!$B$6:$B$20,$A105,'S5'!$E$6:$E$20,"Ambos")+SUMIFS('S6'!$I$6:$I$17,'S6'!$B$6:$B$17,$A105,'S6'!$E$6:$E$17,"Víctor")+SUMIFS('S6'!$I$6:$I$17,'S6'!$B$6:$B$17,$A105,'S6'!$E$6:$E$17,"Ambos")+SUMIFS('S7'!$I$6:$I$19,'S7'!$B$6:$B$19,$A105,'S7'!$E$6:$E$19,"Víctor")+SUMIFS('S7'!$I$6:$I$19,'S7'!$B$6:$B$19,$A105,'S7'!$E$6:$E$19,"Ambos")+SUMIFS('S8'!$I$6:$I$23,'S8'!$B$6:$B$23,$A105,'S8'!$E$6:$E$23,"Víctor")+SUMIFS('S8'!$I$6:$I$23,'S8'!$B$6:$B$23,$A105,'S8'!$E$6:$E$23,"Ambos")+SUMIFS('S9'!$I$6:$I$15,'S9'!$B$6:$B$15,$A105,'S9'!$E$6:$E$15,"Víctor")+SUMIFS('S9'!$I$6:$I$15,'S9'!$B$6:$B$15,$A105,'S9'!$E$6:$E$15,"Ambos")+SUMIFS('S10'!$I$6:$I$13,'S10'!$B$6:$B$13,$A105,'S10'!$E$6:$E$13,"Víctor")+SUMIFS('S10'!$I$6:$I$13,'S10'!$B$6:$B$13,$A105,'S10'!$E$6:$E$13,"Ambos")+SUMIFS('Holgura'!$I$6:$I$11,'Holgura'!$B$6:$B$11,$A105,'Holgura'!$E$6:$E$11,"Víctor")+SUMIFS('Holgura'!$I$6:$I$11,'Holgura'!$B$6:$B$11,$A105,'Holgura'!$E$6:$E$11,"Ambos")+SUMIFS('Entrega'!$I$6:$I$9,'Entrega'!$B$6:$B$9,$A105,'Entrega'!$E$6:$E$9,"Víctor")+SUMIFS('Entrega'!$I$6:$I$9,'Entrega'!$B$6:$B$9,$A105,'Entrega'!$E$6:$E$9,"Ambos")+SUMIFS('Defensa'!$I$6:$I$10,'Defensa'!$B$6:$B$10,$A105,'Defensa'!$E$6:$E$10,"Víctor")+SUMIFS('Defensa'!$I$6:$I$10,'Defensa'!$B$6:$B$10,$A105,'Defensa'!$E$6:$E$10,"Ambos")</f>
        <v/>
      </c>
      <c r="E105" s="21">
        <f>SUMIFS('S1'!$I$6:$I$32,'S1'!$B$6:$B$32,$A105,'S1'!$E$6:$E$32,"Diego")+SUMIFS('S1'!$I$6:$I$32,'S1'!$B$6:$B$32,$A105,'S1'!$E$6:$E$32,"Ambos")+SUMIFS('S2'!$I$6:$I$23,'S2'!$B$6:$B$23,$A105,'S2'!$E$6:$E$23,"Diego")+SUMIFS('S2'!$I$6:$I$23,'S2'!$B$6:$B$23,$A105,'S2'!$E$6:$E$23,"Ambos")+SUMIFS('S3'!$I$6:$I$24,'S3'!$B$6:$B$24,$A105,'S3'!$E$6:$E$24,"Diego")+SUMIFS('S3'!$I$6:$I$24,'S3'!$B$6:$B$24,$A105,'S3'!$E$6:$E$24,"Ambos")+SUMIFS('S4'!$I$6:$I$22,'S4'!$B$6:$B$22,$A105,'S4'!$E$6:$E$22,"Diego")+SUMIFS('S4'!$I$6:$I$22,'S4'!$B$6:$B$22,$A105,'S4'!$E$6:$E$22,"Ambos")+SUMIFS('S5'!$I$6:$I$20,'S5'!$B$6:$B$20,$A105,'S5'!$E$6:$E$20,"Diego")+SUMIFS('S5'!$I$6:$I$20,'S5'!$B$6:$B$20,$A105,'S5'!$E$6:$E$20,"Ambos")+SUMIFS('S6'!$I$6:$I$17,'S6'!$B$6:$B$17,$A105,'S6'!$E$6:$E$17,"Diego")+SUMIFS('S6'!$I$6:$I$17,'S6'!$B$6:$B$17,$A105,'S6'!$E$6:$E$17,"Ambos")+SUMIFS('S7'!$I$6:$I$19,'S7'!$B$6:$B$19,$A105,'S7'!$E$6:$E$19,"Diego")+SUMIFS('S7'!$I$6:$I$19,'S7'!$B$6:$B$19,$A105,'S7'!$E$6:$E$19,"Ambos")+SUMIFS('S8'!$I$6:$I$23,'S8'!$B$6:$B$23,$A105,'S8'!$E$6:$E$23,"Diego")+SUMIFS('S8'!$I$6:$I$23,'S8'!$B$6:$B$23,$A105,'S8'!$E$6:$E$23,"Ambos")+SUMIFS('S9'!$I$6:$I$15,'S9'!$B$6:$B$15,$A105,'S9'!$E$6:$E$15,"Diego")+SUMIFS('S9'!$I$6:$I$15,'S9'!$B$6:$B$15,$A105,'S9'!$E$6:$E$15,"Ambos")+SUMIFS('S10'!$I$6:$I$13,'S10'!$B$6:$B$13,$A105,'S10'!$E$6:$E$13,"Diego")+SUMIFS('S10'!$I$6:$I$13,'S10'!$B$6:$B$13,$A105,'S10'!$E$6:$E$13,"Ambos")+SUMIFS('Holgura'!$I$6:$I$11,'Holgura'!$B$6:$B$11,$A105,'Holgura'!$E$6:$E$11,"Diego")+SUMIFS('Holgura'!$I$6:$I$11,'Holgura'!$B$6:$B$11,$A105,'Holgura'!$E$6:$E$11,"Ambos")+SUMIFS('Entrega'!$I$6:$I$9,'Entrega'!$B$6:$B$9,$A105,'Entrega'!$E$6:$E$9,"Diego")+SUMIFS('Entrega'!$I$6:$I$9,'Entrega'!$B$6:$B$9,$A105,'Entrega'!$E$6:$E$9,"Ambos")+SUMIFS('Defensa'!$I$6:$I$10,'Defensa'!$B$6:$B$10,$A105,'Defensa'!$E$6:$E$10,"Diego")+SUMIFS('Defensa'!$I$6:$I$10,'Defensa'!$B$6:$B$10,$A105,'Defensa'!$E$6:$E$10,"Ambos")</f>
        <v/>
      </c>
      <c r="F105" s="21">
        <f>COUNTIFS('S1'!$B$6:$B$32,$A105,'S1'!$E$6:$E$32,"Víctor")+COUNTIFS('S1'!$B$6:$B$32,$A105,'S1'!$E$6:$E$32,"Ambos")+COUNTIFS('S2'!$B$6:$B$23,$A105,'S2'!$E$6:$E$23,"Víctor")+COUNTIFS('S2'!$B$6:$B$23,$A105,'S2'!$E$6:$E$23,"Ambos")+COUNTIFS('S3'!$B$6:$B$24,$A105,'S3'!$E$6:$E$24,"Víctor")+COUNTIFS('S3'!$B$6:$B$24,$A105,'S3'!$E$6:$E$24,"Ambos")+COUNTIFS('S4'!$B$6:$B$22,$A105,'S4'!$E$6:$E$22,"Víctor")+COUNTIFS('S4'!$B$6:$B$22,$A105,'S4'!$E$6:$E$22,"Ambos")+COUNTIFS('S5'!$B$6:$B$20,$A105,'S5'!$E$6:$E$20,"Víctor")+COUNTIFS('S5'!$B$6:$B$20,$A105,'S5'!$E$6:$E$20,"Ambos")+COUNTIFS('S6'!$B$6:$B$17,$A105,'S6'!$E$6:$E$17,"Víctor")+COUNTIFS('S6'!$B$6:$B$17,$A105,'S6'!$E$6:$E$17,"Ambos")+COUNTIFS('S7'!$B$6:$B$19,$A105,'S7'!$E$6:$E$19,"Víctor")+COUNTIFS('S7'!$B$6:$B$19,$A105,'S7'!$E$6:$E$19,"Ambos")+COUNTIFS('S8'!$B$6:$B$23,$A105,'S8'!$E$6:$E$23,"Víctor")+COUNTIFS('S8'!$B$6:$B$23,$A105,'S8'!$E$6:$E$23,"Ambos")+COUNTIFS('S9'!$B$6:$B$15,$A105,'S9'!$E$6:$E$15,"Víctor")+COUNTIFS('S9'!$B$6:$B$15,$A105,'S9'!$E$6:$E$15,"Ambos")+COUNTIFS('S10'!$B$6:$B$13,$A105,'S10'!$E$6:$E$13,"Víctor")+COUNTIFS('S10'!$B$6:$B$13,$A105,'S10'!$E$6:$E$13,"Ambos")+COUNTIFS('Holgura'!$B$6:$B$11,$A105,'Holgura'!$E$6:$E$11,"Víctor")+COUNTIFS('Holgura'!$B$6:$B$11,$A105,'Holgura'!$E$6:$E$11,"Ambos")+COUNTIFS('Entrega'!$B$6:$B$9,$A105,'Entrega'!$E$6:$E$9,"Víctor")+COUNTIFS('Entrega'!$B$6:$B$9,$A105,'Entrega'!$E$6:$E$9,"Ambos")+COUNTIFS('Defensa'!$B$6:$B$10,$A105,'Defensa'!$E$6:$E$10,"Víctor")+COUNTIFS('Defensa'!$B$6:$B$10,$A105,'Defensa'!$E$6:$E$10,"Ambos")</f>
        <v/>
      </c>
      <c r="G105" s="21">
        <f>COUNTIFS('S1'!$B$6:$B$32,$A105,'S1'!$E$6:$E$32,"Diego")+COUNTIFS('S1'!$B$6:$B$32,$A105,'S1'!$E$6:$E$32,"Ambos")+COUNTIFS('S2'!$B$6:$B$23,$A105,'S2'!$E$6:$E$23,"Diego")+COUNTIFS('S2'!$B$6:$B$23,$A105,'S2'!$E$6:$E$23,"Ambos")+COUNTIFS('S3'!$B$6:$B$24,$A105,'S3'!$E$6:$E$24,"Diego")+COUNTIFS('S3'!$B$6:$B$24,$A105,'S3'!$E$6:$E$24,"Ambos")+COUNTIFS('S4'!$B$6:$B$22,$A105,'S4'!$E$6:$E$22,"Diego")+COUNTIFS('S4'!$B$6:$B$22,$A105,'S4'!$E$6:$E$22,"Ambos")+COUNTIFS('S5'!$B$6:$B$20,$A105,'S5'!$E$6:$E$20,"Diego")+COUNTIFS('S5'!$B$6:$B$20,$A105,'S5'!$E$6:$E$20,"Ambos")+COUNTIFS('S6'!$B$6:$B$17,$A105,'S6'!$E$6:$E$17,"Diego")+COUNTIFS('S6'!$B$6:$B$17,$A105,'S6'!$E$6:$E$17,"Ambos")+COUNTIFS('S7'!$B$6:$B$19,$A105,'S7'!$E$6:$E$19,"Diego")+COUNTIFS('S7'!$B$6:$B$19,$A105,'S7'!$E$6:$E$19,"Ambos")+COUNTIFS('S8'!$B$6:$B$23,$A105,'S8'!$E$6:$E$23,"Diego")+COUNTIFS('S8'!$B$6:$B$23,$A105,'S8'!$E$6:$E$23,"Ambos")+COUNTIFS('S9'!$B$6:$B$15,$A105,'S9'!$E$6:$E$15,"Diego")+COUNTIFS('S9'!$B$6:$B$15,$A105,'S9'!$E$6:$E$15,"Ambos")+COUNTIFS('S10'!$B$6:$B$13,$A105,'S10'!$E$6:$E$13,"Diego")+COUNTIFS('S10'!$B$6:$B$13,$A105,'S10'!$E$6:$E$13,"Ambos")+COUNTIFS('Holgura'!$B$6:$B$11,$A105,'Holgura'!$E$6:$E$11,"Diego")+COUNTIFS('Holgura'!$B$6:$B$11,$A105,'Holgura'!$E$6:$E$11,"Ambos")+COUNTIFS('Entrega'!$B$6:$B$9,$A105,'Entrega'!$E$6:$E$9,"Diego")+COUNTIFS('Entrega'!$B$6:$B$9,$A105,'Entrega'!$E$6:$E$9,"Ambos")+COUNTIFS('Defensa'!$B$6:$B$10,$A105,'Defensa'!$E$6:$E$10,"Diego")+COUNTIFS('Defensa'!$B$6:$B$10,$A105,'Defensa'!$E$6:$E$10,"Ambos")</f>
        <v/>
      </c>
    </row>
    <row r="106">
      <c r="A106" s="25" t="n">
        <v>46408</v>
      </c>
      <c r="B106" s="26">
        <f>A106</f>
        <v/>
      </c>
      <c r="C106" s="21">
        <f>IF(WEEKDAY(A106,2)&gt;5,4,2)</f>
        <v/>
      </c>
      <c r="D106" s="21">
        <f>SUMIFS('S1'!$I$6:$I$32,'S1'!$B$6:$B$32,$A106,'S1'!$E$6:$E$32,"Víctor")+SUMIFS('S1'!$I$6:$I$32,'S1'!$B$6:$B$32,$A106,'S1'!$E$6:$E$32,"Ambos")+SUMIFS('S2'!$I$6:$I$23,'S2'!$B$6:$B$23,$A106,'S2'!$E$6:$E$23,"Víctor")+SUMIFS('S2'!$I$6:$I$23,'S2'!$B$6:$B$23,$A106,'S2'!$E$6:$E$23,"Ambos")+SUMIFS('S3'!$I$6:$I$24,'S3'!$B$6:$B$24,$A106,'S3'!$E$6:$E$24,"Víctor")+SUMIFS('S3'!$I$6:$I$24,'S3'!$B$6:$B$24,$A106,'S3'!$E$6:$E$24,"Ambos")+SUMIFS('S4'!$I$6:$I$22,'S4'!$B$6:$B$22,$A106,'S4'!$E$6:$E$22,"Víctor")+SUMIFS('S4'!$I$6:$I$22,'S4'!$B$6:$B$22,$A106,'S4'!$E$6:$E$22,"Ambos")+SUMIFS('S5'!$I$6:$I$20,'S5'!$B$6:$B$20,$A106,'S5'!$E$6:$E$20,"Víctor")+SUMIFS('S5'!$I$6:$I$20,'S5'!$B$6:$B$20,$A106,'S5'!$E$6:$E$20,"Ambos")+SUMIFS('S6'!$I$6:$I$17,'S6'!$B$6:$B$17,$A106,'S6'!$E$6:$E$17,"Víctor")+SUMIFS('S6'!$I$6:$I$17,'S6'!$B$6:$B$17,$A106,'S6'!$E$6:$E$17,"Ambos")+SUMIFS('S7'!$I$6:$I$19,'S7'!$B$6:$B$19,$A106,'S7'!$E$6:$E$19,"Víctor")+SUMIFS('S7'!$I$6:$I$19,'S7'!$B$6:$B$19,$A106,'S7'!$E$6:$E$19,"Ambos")+SUMIFS('S8'!$I$6:$I$23,'S8'!$B$6:$B$23,$A106,'S8'!$E$6:$E$23,"Víctor")+SUMIFS('S8'!$I$6:$I$23,'S8'!$B$6:$B$23,$A106,'S8'!$E$6:$E$23,"Ambos")+SUMIFS('S9'!$I$6:$I$15,'S9'!$B$6:$B$15,$A106,'S9'!$E$6:$E$15,"Víctor")+SUMIFS('S9'!$I$6:$I$15,'S9'!$B$6:$B$15,$A106,'S9'!$E$6:$E$15,"Ambos")+SUMIFS('S10'!$I$6:$I$13,'S10'!$B$6:$B$13,$A106,'S10'!$E$6:$E$13,"Víctor")+SUMIFS('S10'!$I$6:$I$13,'S10'!$B$6:$B$13,$A106,'S10'!$E$6:$E$13,"Ambos")+SUMIFS('Holgura'!$I$6:$I$11,'Holgura'!$B$6:$B$11,$A106,'Holgura'!$E$6:$E$11,"Víctor")+SUMIFS('Holgura'!$I$6:$I$11,'Holgura'!$B$6:$B$11,$A106,'Holgura'!$E$6:$E$11,"Ambos")+SUMIFS('Entrega'!$I$6:$I$9,'Entrega'!$B$6:$B$9,$A106,'Entrega'!$E$6:$E$9,"Víctor")+SUMIFS('Entrega'!$I$6:$I$9,'Entrega'!$B$6:$B$9,$A106,'Entrega'!$E$6:$E$9,"Ambos")+SUMIFS('Defensa'!$I$6:$I$10,'Defensa'!$B$6:$B$10,$A106,'Defensa'!$E$6:$E$10,"Víctor")+SUMIFS('Defensa'!$I$6:$I$10,'Defensa'!$B$6:$B$10,$A106,'Defensa'!$E$6:$E$10,"Ambos")</f>
        <v/>
      </c>
      <c r="E106" s="21">
        <f>SUMIFS('S1'!$I$6:$I$32,'S1'!$B$6:$B$32,$A106,'S1'!$E$6:$E$32,"Diego")+SUMIFS('S1'!$I$6:$I$32,'S1'!$B$6:$B$32,$A106,'S1'!$E$6:$E$32,"Ambos")+SUMIFS('S2'!$I$6:$I$23,'S2'!$B$6:$B$23,$A106,'S2'!$E$6:$E$23,"Diego")+SUMIFS('S2'!$I$6:$I$23,'S2'!$B$6:$B$23,$A106,'S2'!$E$6:$E$23,"Ambos")+SUMIFS('S3'!$I$6:$I$24,'S3'!$B$6:$B$24,$A106,'S3'!$E$6:$E$24,"Diego")+SUMIFS('S3'!$I$6:$I$24,'S3'!$B$6:$B$24,$A106,'S3'!$E$6:$E$24,"Ambos")+SUMIFS('S4'!$I$6:$I$22,'S4'!$B$6:$B$22,$A106,'S4'!$E$6:$E$22,"Diego")+SUMIFS('S4'!$I$6:$I$22,'S4'!$B$6:$B$22,$A106,'S4'!$E$6:$E$22,"Ambos")+SUMIFS('S5'!$I$6:$I$20,'S5'!$B$6:$B$20,$A106,'S5'!$E$6:$E$20,"Diego")+SUMIFS('S5'!$I$6:$I$20,'S5'!$B$6:$B$20,$A106,'S5'!$E$6:$E$20,"Ambos")+SUMIFS('S6'!$I$6:$I$17,'S6'!$B$6:$B$17,$A106,'S6'!$E$6:$E$17,"Diego")+SUMIFS('S6'!$I$6:$I$17,'S6'!$B$6:$B$17,$A106,'S6'!$E$6:$E$17,"Ambos")+SUMIFS('S7'!$I$6:$I$19,'S7'!$B$6:$B$19,$A106,'S7'!$E$6:$E$19,"Diego")+SUMIFS('S7'!$I$6:$I$19,'S7'!$B$6:$B$19,$A106,'S7'!$E$6:$E$19,"Ambos")+SUMIFS('S8'!$I$6:$I$23,'S8'!$B$6:$B$23,$A106,'S8'!$E$6:$E$23,"Diego")+SUMIFS('S8'!$I$6:$I$23,'S8'!$B$6:$B$23,$A106,'S8'!$E$6:$E$23,"Ambos")+SUMIFS('S9'!$I$6:$I$15,'S9'!$B$6:$B$15,$A106,'S9'!$E$6:$E$15,"Diego")+SUMIFS('S9'!$I$6:$I$15,'S9'!$B$6:$B$15,$A106,'S9'!$E$6:$E$15,"Ambos")+SUMIFS('S10'!$I$6:$I$13,'S10'!$B$6:$B$13,$A106,'S10'!$E$6:$E$13,"Diego")+SUMIFS('S10'!$I$6:$I$13,'S10'!$B$6:$B$13,$A106,'S10'!$E$6:$E$13,"Ambos")+SUMIFS('Holgura'!$I$6:$I$11,'Holgura'!$B$6:$B$11,$A106,'Holgura'!$E$6:$E$11,"Diego")+SUMIFS('Holgura'!$I$6:$I$11,'Holgura'!$B$6:$B$11,$A106,'Holgura'!$E$6:$E$11,"Ambos")+SUMIFS('Entrega'!$I$6:$I$9,'Entrega'!$B$6:$B$9,$A106,'Entrega'!$E$6:$E$9,"Diego")+SUMIFS('Entrega'!$I$6:$I$9,'Entrega'!$B$6:$B$9,$A106,'Entrega'!$E$6:$E$9,"Ambos")+SUMIFS('Defensa'!$I$6:$I$10,'Defensa'!$B$6:$B$10,$A106,'Defensa'!$E$6:$E$10,"Diego")+SUMIFS('Defensa'!$I$6:$I$10,'Defensa'!$B$6:$B$10,$A106,'Defensa'!$E$6:$E$10,"Ambos")</f>
        <v/>
      </c>
      <c r="F106" s="21">
        <f>COUNTIFS('S1'!$B$6:$B$32,$A106,'S1'!$E$6:$E$32,"Víctor")+COUNTIFS('S1'!$B$6:$B$32,$A106,'S1'!$E$6:$E$32,"Ambos")+COUNTIFS('S2'!$B$6:$B$23,$A106,'S2'!$E$6:$E$23,"Víctor")+COUNTIFS('S2'!$B$6:$B$23,$A106,'S2'!$E$6:$E$23,"Ambos")+COUNTIFS('S3'!$B$6:$B$24,$A106,'S3'!$E$6:$E$24,"Víctor")+COUNTIFS('S3'!$B$6:$B$24,$A106,'S3'!$E$6:$E$24,"Ambos")+COUNTIFS('S4'!$B$6:$B$22,$A106,'S4'!$E$6:$E$22,"Víctor")+COUNTIFS('S4'!$B$6:$B$22,$A106,'S4'!$E$6:$E$22,"Ambos")+COUNTIFS('S5'!$B$6:$B$20,$A106,'S5'!$E$6:$E$20,"Víctor")+COUNTIFS('S5'!$B$6:$B$20,$A106,'S5'!$E$6:$E$20,"Ambos")+COUNTIFS('S6'!$B$6:$B$17,$A106,'S6'!$E$6:$E$17,"Víctor")+COUNTIFS('S6'!$B$6:$B$17,$A106,'S6'!$E$6:$E$17,"Ambos")+COUNTIFS('S7'!$B$6:$B$19,$A106,'S7'!$E$6:$E$19,"Víctor")+COUNTIFS('S7'!$B$6:$B$19,$A106,'S7'!$E$6:$E$19,"Ambos")+COUNTIFS('S8'!$B$6:$B$23,$A106,'S8'!$E$6:$E$23,"Víctor")+COUNTIFS('S8'!$B$6:$B$23,$A106,'S8'!$E$6:$E$23,"Ambos")+COUNTIFS('S9'!$B$6:$B$15,$A106,'S9'!$E$6:$E$15,"Víctor")+COUNTIFS('S9'!$B$6:$B$15,$A106,'S9'!$E$6:$E$15,"Ambos")+COUNTIFS('S10'!$B$6:$B$13,$A106,'S10'!$E$6:$E$13,"Víctor")+COUNTIFS('S10'!$B$6:$B$13,$A106,'S10'!$E$6:$E$13,"Ambos")+COUNTIFS('Holgura'!$B$6:$B$11,$A106,'Holgura'!$E$6:$E$11,"Víctor")+COUNTIFS('Holgura'!$B$6:$B$11,$A106,'Holgura'!$E$6:$E$11,"Ambos")+COUNTIFS('Entrega'!$B$6:$B$9,$A106,'Entrega'!$E$6:$E$9,"Víctor")+COUNTIFS('Entrega'!$B$6:$B$9,$A106,'Entrega'!$E$6:$E$9,"Ambos")+COUNTIFS('Defensa'!$B$6:$B$10,$A106,'Defensa'!$E$6:$E$10,"Víctor")+COUNTIFS('Defensa'!$B$6:$B$10,$A106,'Defensa'!$E$6:$E$10,"Ambos")</f>
        <v/>
      </c>
      <c r="G106" s="21">
        <f>COUNTIFS('S1'!$B$6:$B$32,$A106,'S1'!$E$6:$E$32,"Diego")+COUNTIFS('S1'!$B$6:$B$32,$A106,'S1'!$E$6:$E$32,"Ambos")+COUNTIFS('S2'!$B$6:$B$23,$A106,'S2'!$E$6:$E$23,"Diego")+COUNTIFS('S2'!$B$6:$B$23,$A106,'S2'!$E$6:$E$23,"Ambos")+COUNTIFS('S3'!$B$6:$B$24,$A106,'S3'!$E$6:$E$24,"Diego")+COUNTIFS('S3'!$B$6:$B$24,$A106,'S3'!$E$6:$E$24,"Ambos")+COUNTIFS('S4'!$B$6:$B$22,$A106,'S4'!$E$6:$E$22,"Diego")+COUNTIFS('S4'!$B$6:$B$22,$A106,'S4'!$E$6:$E$22,"Ambos")+COUNTIFS('S5'!$B$6:$B$20,$A106,'S5'!$E$6:$E$20,"Diego")+COUNTIFS('S5'!$B$6:$B$20,$A106,'S5'!$E$6:$E$20,"Ambos")+COUNTIFS('S6'!$B$6:$B$17,$A106,'S6'!$E$6:$E$17,"Diego")+COUNTIFS('S6'!$B$6:$B$17,$A106,'S6'!$E$6:$E$17,"Ambos")+COUNTIFS('S7'!$B$6:$B$19,$A106,'S7'!$E$6:$E$19,"Diego")+COUNTIFS('S7'!$B$6:$B$19,$A106,'S7'!$E$6:$E$19,"Ambos")+COUNTIFS('S8'!$B$6:$B$23,$A106,'S8'!$E$6:$E$23,"Diego")+COUNTIFS('S8'!$B$6:$B$23,$A106,'S8'!$E$6:$E$23,"Ambos")+COUNTIFS('S9'!$B$6:$B$15,$A106,'S9'!$E$6:$E$15,"Diego")+COUNTIFS('S9'!$B$6:$B$15,$A106,'S9'!$E$6:$E$15,"Ambos")+COUNTIFS('S10'!$B$6:$B$13,$A106,'S10'!$E$6:$E$13,"Diego")+COUNTIFS('S10'!$B$6:$B$13,$A106,'S10'!$E$6:$E$13,"Ambos")+COUNTIFS('Holgura'!$B$6:$B$11,$A106,'Holgura'!$E$6:$E$11,"Diego")+COUNTIFS('Holgura'!$B$6:$B$11,$A106,'Holgura'!$E$6:$E$11,"Ambos")+COUNTIFS('Entrega'!$B$6:$B$9,$A106,'Entrega'!$E$6:$E$9,"Diego")+COUNTIFS('Entrega'!$B$6:$B$9,$A106,'Entrega'!$E$6:$E$9,"Ambos")+COUNTIFS('Defensa'!$B$6:$B$10,$A106,'Defensa'!$E$6:$E$10,"Diego")+COUNTIFS('Defensa'!$B$6:$B$10,$A106,'Defensa'!$E$6:$E$10,"Ambos")</f>
        <v/>
      </c>
    </row>
    <row r="107">
      <c r="A107" s="25" t="n">
        <v>46409</v>
      </c>
      <c r="B107" s="26">
        <f>A107</f>
        <v/>
      </c>
      <c r="C107" s="21">
        <f>IF(WEEKDAY(A107,2)&gt;5,4,2)</f>
        <v/>
      </c>
      <c r="D107" s="21">
        <f>SUMIFS('S1'!$I$6:$I$32,'S1'!$B$6:$B$32,$A107,'S1'!$E$6:$E$32,"Víctor")+SUMIFS('S1'!$I$6:$I$32,'S1'!$B$6:$B$32,$A107,'S1'!$E$6:$E$32,"Ambos")+SUMIFS('S2'!$I$6:$I$23,'S2'!$B$6:$B$23,$A107,'S2'!$E$6:$E$23,"Víctor")+SUMIFS('S2'!$I$6:$I$23,'S2'!$B$6:$B$23,$A107,'S2'!$E$6:$E$23,"Ambos")+SUMIFS('S3'!$I$6:$I$24,'S3'!$B$6:$B$24,$A107,'S3'!$E$6:$E$24,"Víctor")+SUMIFS('S3'!$I$6:$I$24,'S3'!$B$6:$B$24,$A107,'S3'!$E$6:$E$24,"Ambos")+SUMIFS('S4'!$I$6:$I$22,'S4'!$B$6:$B$22,$A107,'S4'!$E$6:$E$22,"Víctor")+SUMIFS('S4'!$I$6:$I$22,'S4'!$B$6:$B$22,$A107,'S4'!$E$6:$E$22,"Ambos")+SUMIFS('S5'!$I$6:$I$20,'S5'!$B$6:$B$20,$A107,'S5'!$E$6:$E$20,"Víctor")+SUMIFS('S5'!$I$6:$I$20,'S5'!$B$6:$B$20,$A107,'S5'!$E$6:$E$20,"Ambos")+SUMIFS('S6'!$I$6:$I$17,'S6'!$B$6:$B$17,$A107,'S6'!$E$6:$E$17,"Víctor")+SUMIFS('S6'!$I$6:$I$17,'S6'!$B$6:$B$17,$A107,'S6'!$E$6:$E$17,"Ambos")+SUMIFS('S7'!$I$6:$I$19,'S7'!$B$6:$B$19,$A107,'S7'!$E$6:$E$19,"Víctor")+SUMIFS('S7'!$I$6:$I$19,'S7'!$B$6:$B$19,$A107,'S7'!$E$6:$E$19,"Ambos")+SUMIFS('S8'!$I$6:$I$23,'S8'!$B$6:$B$23,$A107,'S8'!$E$6:$E$23,"Víctor")+SUMIFS('S8'!$I$6:$I$23,'S8'!$B$6:$B$23,$A107,'S8'!$E$6:$E$23,"Ambos")+SUMIFS('S9'!$I$6:$I$15,'S9'!$B$6:$B$15,$A107,'S9'!$E$6:$E$15,"Víctor")+SUMIFS('S9'!$I$6:$I$15,'S9'!$B$6:$B$15,$A107,'S9'!$E$6:$E$15,"Ambos")+SUMIFS('S10'!$I$6:$I$13,'S10'!$B$6:$B$13,$A107,'S10'!$E$6:$E$13,"Víctor")+SUMIFS('S10'!$I$6:$I$13,'S10'!$B$6:$B$13,$A107,'S10'!$E$6:$E$13,"Ambos")+SUMIFS('Holgura'!$I$6:$I$11,'Holgura'!$B$6:$B$11,$A107,'Holgura'!$E$6:$E$11,"Víctor")+SUMIFS('Holgura'!$I$6:$I$11,'Holgura'!$B$6:$B$11,$A107,'Holgura'!$E$6:$E$11,"Ambos")+SUMIFS('Entrega'!$I$6:$I$9,'Entrega'!$B$6:$B$9,$A107,'Entrega'!$E$6:$E$9,"Víctor")+SUMIFS('Entrega'!$I$6:$I$9,'Entrega'!$B$6:$B$9,$A107,'Entrega'!$E$6:$E$9,"Ambos")+SUMIFS('Defensa'!$I$6:$I$10,'Defensa'!$B$6:$B$10,$A107,'Defensa'!$E$6:$E$10,"Víctor")+SUMIFS('Defensa'!$I$6:$I$10,'Defensa'!$B$6:$B$10,$A107,'Defensa'!$E$6:$E$10,"Ambos")</f>
        <v/>
      </c>
      <c r="E107" s="21">
        <f>SUMIFS('S1'!$I$6:$I$32,'S1'!$B$6:$B$32,$A107,'S1'!$E$6:$E$32,"Diego")+SUMIFS('S1'!$I$6:$I$32,'S1'!$B$6:$B$32,$A107,'S1'!$E$6:$E$32,"Ambos")+SUMIFS('S2'!$I$6:$I$23,'S2'!$B$6:$B$23,$A107,'S2'!$E$6:$E$23,"Diego")+SUMIFS('S2'!$I$6:$I$23,'S2'!$B$6:$B$23,$A107,'S2'!$E$6:$E$23,"Ambos")+SUMIFS('S3'!$I$6:$I$24,'S3'!$B$6:$B$24,$A107,'S3'!$E$6:$E$24,"Diego")+SUMIFS('S3'!$I$6:$I$24,'S3'!$B$6:$B$24,$A107,'S3'!$E$6:$E$24,"Ambos")+SUMIFS('S4'!$I$6:$I$22,'S4'!$B$6:$B$22,$A107,'S4'!$E$6:$E$22,"Diego")+SUMIFS('S4'!$I$6:$I$22,'S4'!$B$6:$B$22,$A107,'S4'!$E$6:$E$22,"Ambos")+SUMIFS('S5'!$I$6:$I$20,'S5'!$B$6:$B$20,$A107,'S5'!$E$6:$E$20,"Diego")+SUMIFS('S5'!$I$6:$I$20,'S5'!$B$6:$B$20,$A107,'S5'!$E$6:$E$20,"Ambos")+SUMIFS('S6'!$I$6:$I$17,'S6'!$B$6:$B$17,$A107,'S6'!$E$6:$E$17,"Diego")+SUMIFS('S6'!$I$6:$I$17,'S6'!$B$6:$B$17,$A107,'S6'!$E$6:$E$17,"Ambos")+SUMIFS('S7'!$I$6:$I$19,'S7'!$B$6:$B$19,$A107,'S7'!$E$6:$E$19,"Diego")+SUMIFS('S7'!$I$6:$I$19,'S7'!$B$6:$B$19,$A107,'S7'!$E$6:$E$19,"Ambos")+SUMIFS('S8'!$I$6:$I$23,'S8'!$B$6:$B$23,$A107,'S8'!$E$6:$E$23,"Diego")+SUMIFS('S8'!$I$6:$I$23,'S8'!$B$6:$B$23,$A107,'S8'!$E$6:$E$23,"Ambos")+SUMIFS('S9'!$I$6:$I$15,'S9'!$B$6:$B$15,$A107,'S9'!$E$6:$E$15,"Diego")+SUMIFS('S9'!$I$6:$I$15,'S9'!$B$6:$B$15,$A107,'S9'!$E$6:$E$15,"Ambos")+SUMIFS('S10'!$I$6:$I$13,'S10'!$B$6:$B$13,$A107,'S10'!$E$6:$E$13,"Diego")+SUMIFS('S10'!$I$6:$I$13,'S10'!$B$6:$B$13,$A107,'S10'!$E$6:$E$13,"Ambos")+SUMIFS('Holgura'!$I$6:$I$11,'Holgura'!$B$6:$B$11,$A107,'Holgura'!$E$6:$E$11,"Diego")+SUMIFS('Holgura'!$I$6:$I$11,'Holgura'!$B$6:$B$11,$A107,'Holgura'!$E$6:$E$11,"Ambos")+SUMIFS('Entrega'!$I$6:$I$9,'Entrega'!$B$6:$B$9,$A107,'Entrega'!$E$6:$E$9,"Diego")+SUMIFS('Entrega'!$I$6:$I$9,'Entrega'!$B$6:$B$9,$A107,'Entrega'!$E$6:$E$9,"Ambos")+SUMIFS('Defensa'!$I$6:$I$10,'Defensa'!$B$6:$B$10,$A107,'Defensa'!$E$6:$E$10,"Diego")+SUMIFS('Defensa'!$I$6:$I$10,'Defensa'!$B$6:$B$10,$A107,'Defensa'!$E$6:$E$10,"Ambos")</f>
        <v/>
      </c>
      <c r="F107" s="21">
        <f>COUNTIFS('S1'!$B$6:$B$32,$A107,'S1'!$E$6:$E$32,"Víctor")+COUNTIFS('S1'!$B$6:$B$32,$A107,'S1'!$E$6:$E$32,"Ambos")+COUNTIFS('S2'!$B$6:$B$23,$A107,'S2'!$E$6:$E$23,"Víctor")+COUNTIFS('S2'!$B$6:$B$23,$A107,'S2'!$E$6:$E$23,"Ambos")+COUNTIFS('S3'!$B$6:$B$24,$A107,'S3'!$E$6:$E$24,"Víctor")+COUNTIFS('S3'!$B$6:$B$24,$A107,'S3'!$E$6:$E$24,"Ambos")+COUNTIFS('S4'!$B$6:$B$22,$A107,'S4'!$E$6:$E$22,"Víctor")+COUNTIFS('S4'!$B$6:$B$22,$A107,'S4'!$E$6:$E$22,"Ambos")+COUNTIFS('S5'!$B$6:$B$20,$A107,'S5'!$E$6:$E$20,"Víctor")+COUNTIFS('S5'!$B$6:$B$20,$A107,'S5'!$E$6:$E$20,"Ambos")+COUNTIFS('S6'!$B$6:$B$17,$A107,'S6'!$E$6:$E$17,"Víctor")+COUNTIFS('S6'!$B$6:$B$17,$A107,'S6'!$E$6:$E$17,"Ambos")+COUNTIFS('S7'!$B$6:$B$19,$A107,'S7'!$E$6:$E$19,"Víctor")+COUNTIFS('S7'!$B$6:$B$19,$A107,'S7'!$E$6:$E$19,"Ambos")+COUNTIFS('S8'!$B$6:$B$23,$A107,'S8'!$E$6:$E$23,"Víctor")+COUNTIFS('S8'!$B$6:$B$23,$A107,'S8'!$E$6:$E$23,"Ambos")+COUNTIFS('S9'!$B$6:$B$15,$A107,'S9'!$E$6:$E$15,"Víctor")+COUNTIFS('S9'!$B$6:$B$15,$A107,'S9'!$E$6:$E$15,"Ambos")+COUNTIFS('S10'!$B$6:$B$13,$A107,'S10'!$E$6:$E$13,"Víctor")+COUNTIFS('S10'!$B$6:$B$13,$A107,'S10'!$E$6:$E$13,"Ambos")+COUNTIFS('Holgura'!$B$6:$B$11,$A107,'Holgura'!$E$6:$E$11,"Víctor")+COUNTIFS('Holgura'!$B$6:$B$11,$A107,'Holgura'!$E$6:$E$11,"Ambos")+COUNTIFS('Entrega'!$B$6:$B$9,$A107,'Entrega'!$E$6:$E$9,"Víctor")+COUNTIFS('Entrega'!$B$6:$B$9,$A107,'Entrega'!$E$6:$E$9,"Ambos")+COUNTIFS('Defensa'!$B$6:$B$10,$A107,'Defensa'!$E$6:$E$10,"Víctor")+COUNTIFS('Defensa'!$B$6:$B$10,$A107,'Defensa'!$E$6:$E$10,"Ambos")</f>
        <v/>
      </c>
      <c r="G107" s="21">
        <f>COUNTIFS('S1'!$B$6:$B$32,$A107,'S1'!$E$6:$E$32,"Diego")+COUNTIFS('S1'!$B$6:$B$32,$A107,'S1'!$E$6:$E$32,"Ambos")+COUNTIFS('S2'!$B$6:$B$23,$A107,'S2'!$E$6:$E$23,"Diego")+COUNTIFS('S2'!$B$6:$B$23,$A107,'S2'!$E$6:$E$23,"Ambos")+COUNTIFS('S3'!$B$6:$B$24,$A107,'S3'!$E$6:$E$24,"Diego")+COUNTIFS('S3'!$B$6:$B$24,$A107,'S3'!$E$6:$E$24,"Ambos")+COUNTIFS('S4'!$B$6:$B$22,$A107,'S4'!$E$6:$E$22,"Diego")+COUNTIFS('S4'!$B$6:$B$22,$A107,'S4'!$E$6:$E$22,"Ambos")+COUNTIFS('S5'!$B$6:$B$20,$A107,'S5'!$E$6:$E$20,"Diego")+COUNTIFS('S5'!$B$6:$B$20,$A107,'S5'!$E$6:$E$20,"Ambos")+COUNTIFS('S6'!$B$6:$B$17,$A107,'S6'!$E$6:$E$17,"Diego")+COUNTIFS('S6'!$B$6:$B$17,$A107,'S6'!$E$6:$E$17,"Ambos")+COUNTIFS('S7'!$B$6:$B$19,$A107,'S7'!$E$6:$E$19,"Diego")+COUNTIFS('S7'!$B$6:$B$19,$A107,'S7'!$E$6:$E$19,"Ambos")+COUNTIFS('S8'!$B$6:$B$23,$A107,'S8'!$E$6:$E$23,"Diego")+COUNTIFS('S8'!$B$6:$B$23,$A107,'S8'!$E$6:$E$23,"Ambos")+COUNTIFS('S9'!$B$6:$B$15,$A107,'S9'!$E$6:$E$15,"Diego")+COUNTIFS('S9'!$B$6:$B$15,$A107,'S9'!$E$6:$E$15,"Ambos")+COUNTIFS('S10'!$B$6:$B$13,$A107,'S10'!$E$6:$E$13,"Diego")+COUNTIFS('S10'!$B$6:$B$13,$A107,'S10'!$E$6:$E$13,"Ambos")+COUNTIFS('Holgura'!$B$6:$B$11,$A107,'Holgura'!$E$6:$E$11,"Diego")+COUNTIFS('Holgura'!$B$6:$B$11,$A107,'Holgura'!$E$6:$E$11,"Ambos")+COUNTIFS('Entrega'!$B$6:$B$9,$A107,'Entrega'!$E$6:$E$9,"Diego")+COUNTIFS('Entrega'!$B$6:$B$9,$A107,'Entrega'!$E$6:$E$9,"Ambos")+COUNTIFS('Defensa'!$B$6:$B$10,$A107,'Defensa'!$E$6:$E$10,"Diego")+COUNTIFS('Defensa'!$B$6:$B$10,$A107,'Defensa'!$E$6:$E$10,"Ambos")</f>
        <v/>
      </c>
    </row>
    <row r="108">
      <c r="A108" s="25" t="n">
        <v>46410</v>
      </c>
      <c r="B108" s="26">
        <f>A108</f>
        <v/>
      </c>
      <c r="C108" s="21">
        <f>IF(WEEKDAY(A108,2)&gt;5,4,2)</f>
        <v/>
      </c>
      <c r="D108" s="21">
        <f>SUMIFS('S1'!$I$6:$I$32,'S1'!$B$6:$B$32,$A108,'S1'!$E$6:$E$32,"Víctor")+SUMIFS('S1'!$I$6:$I$32,'S1'!$B$6:$B$32,$A108,'S1'!$E$6:$E$32,"Ambos")+SUMIFS('S2'!$I$6:$I$23,'S2'!$B$6:$B$23,$A108,'S2'!$E$6:$E$23,"Víctor")+SUMIFS('S2'!$I$6:$I$23,'S2'!$B$6:$B$23,$A108,'S2'!$E$6:$E$23,"Ambos")+SUMIFS('S3'!$I$6:$I$24,'S3'!$B$6:$B$24,$A108,'S3'!$E$6:$E$24,"Víctor")+SUMIFS('S3'!$I$6:$I$24,'S3'!$B$6:$B$24,$A108,'S3'!$E$6:$E$24,"Ambos")+SUMIFS('S4'!$I$6:$I$22,'S4'!$B$6:$B$22,$A108,'S4'!$E$6:$E$22,"Víctor")+SUMIFS('S4'!$I$6:$I$22,'S4'!$B$6:$B$22,$A108,'S4'!$E$6:$E$22,"Ambos")+SUMIFS('S5'!$I$6:$I$20,'S5'!$B$6:$B$20,$A108,'S5'!$E$6:$E$20,"Víctor")+SUMIFS('S5'!$I$6:$I$20,'S5'!$B$6:$B$20,$A108,'S5'!$E$6:$E$20,"Ambos")+SUMIFS('S6'!$I$6:$I$17,'S6'!$B$6:$B$17,$A108,'S6'!$E$6:$E$17,"Víctor")+SUMIFS('S6'!$I$6:$I$17,'S6'!$B$6:$B$17,$A108,'S6'!$E$6:$E$17,"Ambos")+SUMIFS('S7'!$I$6:$I$19,'S7'!$B$6:$B$19,$A108,'S7'!$E$6:$E$19,"Víctor")+SUMIFS('S7'!$I$6:$I$19,'S7'!$B$6:$B$19,$A108,'S7'!$E$6:$E$19,"Ambos")+SUMIFS('S8'!$I$6:$I$23,'S8'!$B$6:$B$23,$A108,'S8'!$E$6:$E$23,"Víctor")+SUMIFS('S8'!$I$6:$I$23,'S8'!$B$6:$B$23,$A108,'S8'!$E$6:$E$23,"Ambos")+SUMIFS('S9'!$I$6:$I$15,'S9'!$B$6:$B$15,$A108,'S9'!$E$6:$E$15,"Víctor")+SUMIFS('S9'!$I$6:$I$15,'S9'!$B$6:$B$15,$A108,'S9'!$E$6:$E$15,"Ambos")+SUMIFS('S10'!$I$6:$I$13,'S10'!$B$6:$B$13,$A108,'S10'!$E$6:$E$13,"Víctor")+SUMIFS('S10'!$I$6:$I$13,'S10'!$B$6:$B$13,$A108,'S10'!$E$6:$E$13,"Ambos")+SUMIFS('Holgura'!$I$6:$I$11,'Holgura'!$B$6:$B$11,$A108,'Holgura'!$E$6:$E$11,"Víctor")+SUMIFS('Holgura'!$I$6:$I$11,'Holgura'!$B$6:$B$11,$A108,'Holgura'!$E$6:$E$11,"Ambos")+SUMIFS('Entrega'!$I$6:$I$9,'Entrega'!$B$6:$B$9,$A108,'Entrega'!$E$6:$E$9,"Víctor")+SUMIFS('Entrega'!$I$6:$I$9,'Entrega'!$B$6:$B$9,$A108,'Entrega'!$E$6:$E$9,"Ambos")+SUMIFS('Defensa'!$I$6:$I$10,'Defensa'!$B$6:$B$10,$A108,'Defensa'!$E$6:$E$10,"Víctor")+SUMIFS('Defensa'!$I$6:$I$10,'Defensa'!$B$6:$B$10,$A108,'Defensa'!$E$6:$E$10,"Ambos")</f>
        <v/>
      </c>
      <c r="E108" s="21">
        <f>SUMIFS('S1'!$I$6:$I$32,'S1'!$B$6:$B$32,$A108,'S1'!$E$6:$E$32,"Diego")+SUMIFS('S1'!$I$6:$I$32,'S1'!$B$6:$B$32,$A108,'S1'!$E$6:$E$32,"Ambos")+SUMIFS('S2'!$I$6:$I$23,'S2'!$B$6:$B$23,$A108,'S2'!$E$6:$E$23,"Diego")+SUMIFS('S2'!$I$6:$I$23,'S2'!$B$6:$B$23,$A108,'S2'!$E$6:$E$23,"Ambos")+SUMIFS('S3'!$I$6:$I$24,'S3'!$B$6:$B$24,$A108,'S3'!$E$6:$E$24,"Diego")+SUMIFS('S3'!$I$6:$I$24,'S3'!$B$6:$B$24,$A108,'S3'!$E$6:$E$24,"Ambos")+SUMIFS('S4'!$I$6:$I$22,'S4'!$B$6:$B$22,$A108,'S4'!$E$6:$E$22,"Diego")+SUMIFS('S4'!$I$6:$I$22,'S4'!$B$6:$B$22,$A108,'S4'!$E$6:$E$22,"Ambos")+SUMIFS('S5'!$I$6:$I$20,'S5'!$B$6:$B$20,$A108,'S5'!$E$6:$E$20,"Diego")+SUMIFS('S5'!$I$6:$I$20,'S5'!$B$6:$B$20,$A108,'S5'!$E$6:$E$20,"Ambos")+SUMIFS('S6'!$I$6:$I$17,'S6'!$B$6:$B$17,$A108,'S6'!$E$6:$E$17,"Diego")+SUMIFS('S6'!$I$6:$I$17,'S6'!$B$6:$B$17,$A108,'S6'!$E$6:$E$17,"Ambos")+SUMIFS('S7'!$I$6:$I$19,'S7'!$B$6:$B$19,$A108,'S7'!$E$6:$E$19,"Diego")+SUMIFS('S7'!$I$6:$I$19,'S7'!$B$6:$B$19,$A108,'S7'!$E$6:$E$19,"Ambos")+SUMIFS('S8'!$I$6:$I$23,'S8'!$B$6:$B$23,$A108,'S8'!$E$6:$E$23,"Diego")+SUMIFS('S8'!$I$6:$I$23,'S8'!$B$6:$B$23,$A108,'S8'!$E$6:$E$23,"Ambos")+SUMIFS('S9'!$I$6:$I$15,'S9'!$B$6:$B$15,$A108,'S9'!$E$6:$E$15,"Diego")+SUMIFS('S9'!$I$6:$I$15,'S9'!$B$6:$B$15,$A108,'S9'!$E$6:$E$15,"Ambos")+SUMIFS('S10'!$I$6:$I$13,'S10'!$B$6:$B$13,$A108,'S10'!$E$6:$E$13,"Diego")+SUMIFS('S10'!$I$6:$I$13,'S10'!$B$6:$B$13,$A108,'S10'!$E$6:$E$13,"Ambos")+SUMIFS('Holgura'!$I$6:$I$11,'Holgura'!$B$6:$B$11,$A108,'Holgura'!$E$6:$E$11,"Diego")+SUMIFS('Holgura'!$I$6:$I$11,'Holgura'!$B$6:$B$11,$A108,'Holgura'!$E$6:$E$11,"Ambos")+SUMIFS('Entrega'!$I$6:$I$9,'Entrega'!$B$6:$B$9,$A108,'Entrega'!$E$6:$E$9,"Diego")+SUMIFS('Entrega'!$I$6:$I$9,'Entrega'!$B$6:$B$9,$A108,'Entrega'!$E$6:$E$9,"Ambos")+SUMIFS('Defensa'!$I$6:$I$10,'Defensa'!$B$6:$B$10,$A108,'Defensa'!$E$6:$E$10,"Diego")+SUMIFS('Defensa'!$I$6:$I$10,'Defensa'!$B$6:$B$10,$A108,'Defensa'!$E$6:$E$10,"Ambos")</f>
        <v/>
      </c>
      <c r="F108" s="21">
        <f>COUNTIFS('S1'!$B$6:$B$32,$A108,'S1'!$E$6:$E$32,"Víctor")+COUNTIFS('S1'!$B$6:$B$32,$A108,'S1'!$E$6:$E$32,"Ambos")+COUNTIFS('S2'!$B$6:$B$23,$A108,'S2'!$E$6:$E$23,"Víctor")+COUNTIFS('S2'!$B$6:$B$23,$A108,'S2'!$E$6:$E$23,"Ambos")+COUNTIFS('S3'!$B$6:$B$24,$A108,'S3'!$E$6:$E$24,"Víctor")+COUNTIFS('S3'!$B$6:$B$24,$A108,'S3'!$E$6:$E$24,"Ambos")+COUNTIFS('S4'!$B$6:$B$22,$A108,'S4'!$E$6:$E$22,"Víctor")+COUNTIFS('S4'!$B$6:$B$22,$A108,'S4'!$E$6:$E$22,"Ambos")+COUNTIFS('S5'!$B$6:$B$20,$A108,'S5'!$E$6:$E$20,"Víctor")+COUNTIFS('S5'!$B$6:$B$20,$A108,'S5'!$E$6:$E$20,"Ambos")+COUNTIFS('S6'!$B$6:$B$17,$A108,'S6'!$E$6:$E$17,"Víctor")+COUNTIFS('S6'!$B$6:$B$17,$A108,'S6'!$E$6:$E$17,"Ambos")+COUNTIFS('S7'!$B$6:$B$19,$A108,'S7'!$E$6:$E$19,"Víctor")+COUNTIFS('S7'!$B$6:$B$19,$A108,'S7'!$E$6:$E$19,"Ambos")+COUNTIFS('S8'!$B$6:$B$23,$A108,'S8'!$E$6:$E$23,"Víctor")+COUNTIFS('S8'!$B$6:$B$23,$A108,'S8'!$E$6:$E$23,"Ambos")+COUNTIFS('S9'!$B$6:$B$15,$A108,'S9'!$E$6:$E$15,"Víctor")+COUNTIFS('S9'!$B$6:$B$15,$A108,'S9'!$E$6:$E$15,"Ambos")+COUNTIFS('S10'!$B$6:$B$13,$A108,'S10'!$E$6:$E$13,"Víctor")+COUNTIFS('S10'!$B$6:$B$13,$A108,'S10'!$E$6:$E$13,"Ambos")+COUNTIFS('Holgura'!$B$6:$B$11,$A108,'Holgura'!$E$6:$E$11,"Víctor")+COUNTIFS('Holgura'!$B$6:$B$11,$A108,'Holgura'!$E$6:$E$11,"Ambos")+COUNTIFS('Entrega'!$B$6:$B$9,$A108,'Entrega'!$E$6:$E$9,"Víctor")+COUNTIFS('Entrega'!$B$6:$B$9,$A108,'Entrega'!$E$6:$E$9,"Ambos")+COUNTIFS('Defensa'!$B$6:$B$10,$A108,'Defensa'!$E$6:$E$10,"Víctor")+COUNTIFS('Defensa'!$B$6:$B$10,$A108,'Defensa'!$E$6:$E$10,"Ambos")</f>
        <v/>
      </c>
      <c r="G108" s="21">
        <f>COUNTIFS('S1'!$B$6:$B$32,$A108,'S1'!$E$6:$E$32,"Diego")+COUNTIFS('S1'!$B$6:$B$32,$A108,'S1'!$E$6:$E$32,"Ambos")+COUNTIFS('S2'!$B$6:$B$23,$A108,'S2'!$E$6:$E$23,"Diego")+COUNTIFS('S2'!$B$6:$B$23,$A108,'S2'!$E$6:$E$23,"Ambos")+COUNTIFS('S3'!$B$6:$B$24,$A108,'S3'!$E$6:$E$24,"Diego")+COUNTIFS('S3'!$B$6:$B$24,$A108,'S3'!$E$6:$E$24,"Ambos")+COUNTIFS('S4'!$B$6:$B$22,$A108,'S4'!$E$6:$E$22,"Diego")+COUNTIFS('S4'!$B$6:$B$22,$A108,'S4'!$E$6:$E$22,"Ambos")+COUNTIFS('S5'!$B$6:$B$20,$A108,'S5'!$E$6:$E$20,"Diego")+COUNTIFS('S5'!$B$6:$B$20,$A108,'S5'!$E$6:$E$20,"Ambos")+COUNTIFS('S6'!$B$6:$B$17,$A108,'S6'!$E$6:$E$17,"Diego")+COUNTIFS('S6'!$B$6:$B$17,$A108,'S6'!$E$6:$E$17,"Ambos")+COUNTIFS('S7'!$B$6:$B$19,$A108,'S7'!$E$6:$E$19,"Diego")+COUNTIFS('S7'!$B$6:$B$19,$A108,'S7'!$E$6:$E$19,"Ambos")+COUNTIFS('S8'!$B$6:$B$23,$A108,'S8'!$E$6:$E$23,"Diego")+COUNTIFS('S8'!$B$6:$B$23,$A108,'S8'!$E$6:$E$23,"Ambos")+COUNTIFS('S9'!$B$6:$B$15,$A108,'S9'!$E$6:$E$15,"Diego")+COUNTIFS('S9'!$B$6:$B$15,$A108,'S9'!$E$6:$E$15,"Ambos")+COUNTIFS('S10'!$B$6:$B$13,$A108,'S10'!$E$6:$E$13,"Diego")+COUNTIFS('S10'!$B$6:$B$13,$A108,'S10'!$E$6:$E$13,"Ambos")+COUNTIFS('Holgura'!$B$6:$B$11,$A108,'Holgura'!$E$6:$E$11,"Diego")+COUNTIFS('Holgura'!$B$6:$B$11,$A108,'Holgura'!$E$6:$E$11,"Ambos")+COUNTIFS('Entrega'!$B$6:$B$9,$A108,'Entrega'!$E$6:$E$9,"Diego")+COUNTIFS('Entrega'!$B$6:$B$9,$A108,'Entrega'!$E$6:$E$9,"Ambos")+COUNTIFS('Defensa'!$B$6:$B$10,$A108,'Defensa'!$E$6:$E$10,"Diego")+COUNTIFS('Defensa'!$B$6:$B$10,$A108,'Defensa'!$E$6:$E$10,"Ambos")</f>
        <v/>
      </c>
    </row>
    <row r="109">
      <c r="A109" s="25" t="n">
        <v>46411</v>
      </c>
      <c r="B109" s="26">
        <f>A109</f>
        <v/>
      </c>
      <c r="C109" s="21">
        <f>IF(WEEKDAY(A109,2)&gt;5,4,2)</f>
        <v/>
      </c>
      <c r="D109" s="21">
        <f>SUMIFS('S1'!$I$6:$I$32,'S1'!$B$6:$B$32,$A109,'S1'!$E$6:$E$32,"Víctor")+SUMIFS('S1'!$I$6:$I$32,'S1'!$B$6:$B$32,$A109,'S1'!$E$6:$E$32,"Ambos")+SUMIFS('S2'!$I$6:$I$23,'S2'!$B$6:$B$23,$A109,'S2'!$E$6:$E$23,"Víctor")+SUMIFS('S2'!$I$6:$I$23,'S2'!$B$6:$B$23,$A109,'S2'!$E$6:$E$23,"Ambos")+SUMIFS('S3'!$I$6:$I$24,'S3'!$B$6:$B$24,$A109,'S3'!$E$6:$E$24,"Víctor")+SUMIFS('S3'!$I$6:$I$24,'S3'!$B$6:$B$24,$A109,'S3'!$E$6:$E$24,"Ambos")+SUMIFS('S4'!$I$6:$I$22,'S4'!$B$6:$B$22,$A109,'S4'!$E$6:$E$22,"Víctor")+SUMIFS('S4'!$I$6:$I$22,'S4'!$B$6:$B$22,$A109,'S4'!$E$6:$E$22,"Ambos")+SUMIFS('S5'!$I$6:$I$20,'S5'!$B$6:$B$20,$A109,'S5'!$E$6:$E$20,"Víctor")+SUMIFS('S5'!$I$6:$I$20,'S5'!$B$6:$B$20,$A109,'S5'!$E$6:$E$20,"Ambos")+SUMIFS('S6'!$I$6:$I$17,'S6'!$B$6:$B$17,$A109,'S6'!$E$6:$E$17,"Víctor")+SUMIFS('S6'!$I$6:$I$17,'S6'!$B$6:$B$17,$A109,'S6'!$E$6:$E$17,"Ambos")+SUMIFS('S7'!$I$6:$I$19,'S7'!$B$6:$B$19,$A109,'S7'!$E$6:$E$19,"Víctor")+SUMIFS('S7'!$I$6:$I$19,'S7'!$B$6:$B$19,$A109,'S7'!$E$6:$E$19,"Ambos")+SUMIFS('S8'!$I$6:$I$23,'S8'!$B$6:$B$23,$A109,'S8'!$E$6:$E$23,"Víctor")+SUMIFS('S8'!$I$6:$I$23,'S8'!$B$6:$B$23,$A109,'S8'!$E$6:$E$23,"Ambos")+SUMIFS('S9'!$I$6:$I$15,'S9'!$B$6:$B$15,$A109,'S9'!$E$6:$E$15,"Víctor")+SUMIFS('S9'!$I$6:$I$15,'S9'!$B$6:$B$15,$A109,'S9'!$E$6:$E$15,"Ambos")+SUMIFS('S10'!$I$6:$I$13,'S10'!$B$6:$B$13,$A109,'S10'!$E$6:$E$13,"Víctor")+SUMIFS('S10'!$I$6:$I$13,'S10'!$B$6:$B$13,$A109,'S10'!$E$6:$E$13,"Ambos")+SUMIFS('Holgura'!$I$6:$I$11,'Holgura'!$B$6:$B$11,$A109,'Holgura'!$E$6:$E$11,"Víctor")+SUMIFS('Holgura'!$I$6:$I$11,'Holgura'!$B$6:$B$11,$A109,'Holgura'!$E$6:$E$11,"Ambos")+SUMIFS('Entrega'!$I$6:$I$9,'Entrega'!$B$6:$B$9,$A109,'Entrega'!$E$6:$E$9,"Víctor")+SUMIFS('Entrega'!$I$6:$I$9,'Entrega'!$B$6:$B$9,$A109,'Entrega'!$E$6:$E$9,"Ambos")+SUMIFS('Defensa'!$I$6:$I$10,'Defensa'!$B$6:$B$10,$A109,'Defensa'!$E$6:$E$10,"Víctor")+SUMIFS('Defensa'!$I$6:$I$10,'Defensa'!$B$6:$B$10,$A109,'Defensa'!$E$6:$E$10,"Ambos")</f>
        <v/>
      </c>
      <c r="E109" s="21">
        <f>SUMIFS('S1'!$I$6:$I$32,'S1'!$B$6:$B$32,$A109,'S1'!$E$6:$E$32,"Diego")+SUMIFS('S1'!$I$6:$I$32,'S1'!$B$6:$B$32,$A109,'S1'!$E$6:$E$32,"Ambos")+SUMIFS('S2'!$I$6:$I$23,'S2'!$B$6:$B$23,$A109,'S2'!$E$6:$E$23,"Diego")+SUMIFS('S2'!$I$6:$I$23,'S2'!$B$6:$B$23,$A109,'S2'!$E$6:$E$23,"Ambos")+SUMIFS('S3'!$I$6:$I$24,'S3'!$B$6:$B$24,$A109,'S3'!$E$6:$E$24,"Diego")+SUMIFS('S3'!$I$6:$I$24,'S3'!$B$6:$B$24,$A109,'S3'!$E$6:$E$24,"Ambos")+SUMIFS('S4'!$I$6:$I$22,'S4'!$B$6:$B$22,$A109,'S4'!$E$6:$E$22,"Diego")+SUMIFS('S4'!$I$6:$I$22,'S4'!$B$6:$B$22,$A109,'S4'!$E$6:$E$22,"Ambos")+SUMIFS('S5'!$I$6:$I$20,'S5'!$B$6:$B$20,$A109,'S5'!$E$6:$E$20,"Diego")+SUMIFS('S5'!$I$6:$I$20,'S5'!$B$6:$B$20,$A109,'S5'!$E$6:$E$20,"Ambos")+SUMIFS('S6'!$I$6:$I$17,'S6'!$B$6:$B$17,$A109,'S6'!$E$6:$E$17,"Diego")+SUMIFS('S6'!$I$6:$I$17,'S6'!$B$6:$B$17,$A109,'S6'!$E$6:$E$17,"Ambos")+SUMIFS('S7'!$I$6:$I$19,'S7'!$B$6:$B$19,$A109,'S7'!$E$6:$E$19,"Diego")+SUMIFS('S7'!$I$6:$I$19,'S7'!$B$6:$B$19,$A109,'S7'!$E$6:$E$19,"Ambos")+SUMIFS('S8'!$I$6:$I$23,'S8'!$B$6:$B$23,$A109,'S8'!$E$6:$E$23,"Diego")+SUMIFS('S8'!$I$6:$I$23,'S8'!$B$6:$B$23,$A109,'S8'!$E$6:$E$23,"Ambos")+SUMIFS('S9'!$I$6:$I$15,'S9'!$B$6:$B$15,$A109,'S9'!$E$6:$E$15,"Diego")+SUMIFS('S9'!$I$6:$I$15,'S9'!$B$6:$B$15,$A109,'S9'!$E$6:$E$15,"Ambos")+SUMIFS('S10'!$I$6:$I$13,'S10'!$B$6:$B$13,$A109,'S10'!$E$6:$E$13,"Diego")+SUMIFS('S10'!$I$6:$I$13,'S10'!$B$6:$B$13,$A109,'S10'!$E$6:$E$13,"Ambos")+SUMIFS('Holgura'!$I$6:$I$11,'Holgura'!$B$6:$B$11,$A109,'Holgura'!$E$6:$E$11,"Diego")+SUMIFS('Holgura'!$I$6:$I$11,'Holgura'!$B$6:$B$11,$A109,'Holgura'!$E$6:$E$11,"Ambos")+SUMIFS('Entrega'!$I$6:$I$9,'Entrega'!$B$6:$B$9,$A109,'Entrega'!$E$6:$E$9,"Diego")+SUMIFS('Entrega'!$I$6:$I$9,'Entrega'!$B$6:$B$9,$A109,'Entrega'!$E$6:$E$9,"Ambos")+SUMIFS('Defensa'!$I$6:$I$10,'Defensa'!$B$6:$B$10,$A109,'Defensa'!$E$6:$E$10,"Diego")+SUMIFS('Defensa'!$I$6:$I$10,'Defensa'!$B$6:$B$10,$A109,'Defensa'!$E$6:$E$10,"Ambos")</f>
        <v/>
      </c>
      <c r="F109" s="21">
        <f>COUNTIFS('S1'!$B$6:$B$32,$A109,'S1'!$E$6:$E$32,"Víctor")+COUNTIFS('S1'!$B$6:$B$32,$A109,'S1'!$E$6:$E$32,"Ambos")+COUNTIFS('S2'!$B$6:$B$23,$A109,'S2'!$E$6:$E$23,"Víctor")+COUNTIFS('S2'!$B$6:$B$23,$A109,'S2'!$E$6:$E$23,"Ambos")+COUNTIFS('S3'!$B$6:$B$24,$A109,'S3'!$E$6:$E$24,"Víctor")+COUNTIFS('S3'!$B$6:$B$24,$A109,'S3'!$E$6:$E$24,"Ambos")+COUNTIFS('S4'!$B$6:$B$22,$A109,'S4'!$E$6:$E$22,"Víctor")+COUNTIFS('S4'!$B$6:$B$22,$A109,'S4'!$E$6:$E$22,"Ambos")+COUNTIFS('S5'!$B$6:$B$20,$A109,'S5'!$E$6:$E$20,"Víctor")+COUNTIFS('S5'!$B$6:$B$20,$A109,'S5'!$E$6:$E$20,"Ambos")+COUNTIFS('S6'!$B$6:$B$17,$A109,'S6'!$E$6:$E$17,"Víctor")+COUNTIFS('S6'!$B$6:$B$17,$A109,'S6'!$E$6:$E$17,"Ambos")+COUNTIFS('S7'!$B$6:$B$19,$A109,'S7'!$E$6:$E$19,"Víctor")+COUNTIFS('S7'!$B$6:$B$19,$A109,'S7'!$E$6:$E$19,"Ambos")+COUNTIFS('S8'!$B$6:$B$23,$A109,'S8'!$E$6:$E$23,"Víctor")+COUNTIFS('S8'!$B$6:$B$23,$A109,'S8'!$E$6:$E$23,"Ambos")+COUNTIFS('S9'!$B$6:$B$15,$A109,'S9'!$E$6:$E$15,"Víctor")+COUNTIFS('S9'!$B$6:$B$15,$A109,'S9'!$E$6:$E$15,"Ambos")+COUNTIFS('S10'!$B$6:$B$13,$A109,'S10'!$E$6:$E$13,"Víctor")+COUNTIFS('S10'!$B$6:$B$13,$A109,'S10'!$E$6:$E$13,"Ambos")+COUNTIFS('Holgura'!$B$6:$B$11,$A109,'Holgura'!$E$6:$E$11,"Víctor")+COUNTIFS('Holgura'!$B$6:$B$11,$A109,'Holgura'!$E$6:$E$11,"Ambos")+COUNTIFS('Entrega'!$B$6:$B$9,$A109,'Entrega'!$E$6:$E$9,"Víctor")+COUNTIFS('Entrega'!$B$6:$B$9,$A109,'Entrega'!$E$6:$E$9,"Ambos")+COUNTIFS('Defensa'!$B$6:$B$10,$A109,'Defensa'!$E$6:$E$10,"Víctor")+COUNTIFS('Defensa'!$B$6:$B$10,$A109,'Defensa'!$E$6:$E$10,"Ambos")</f>
        <v/>
      </c>
      <c r="G109" s="21">
        <f>COUNTIFS('S1'!$B$6:$B$32,$A109,'S1'!$E$6:$E$32,"Diego")+COUNTIFS('S1'!$B$6:$B$32,$A109,'S1'!$E$6:$E$32,"Ambos")+COUNTIFS('S2'!$B$6:$B$23,$A109,'S2'!$E$6:$E$23,"Diego")+COUNTIFS('S2'!$B$6:$B$23,$A109,'S2'!$E$6:$E$23,"Ambos")+COUNTIFS('S3'!$B$6:$B$24,$A109,'S3'!$E$6:$E$24,"Diego")+COUNTIFS('S3'!$B$6:$B$24,$A109,'S3'!$E$6:$E$24,"Ambos")+COUNTIFS('S4'!$B$6:$B$22,$A109,'S4'!$E$6:$E$22,"Diego")+COUNTIFS('S4'!$B$6:$B$22,$A109,'S4'!$E$6:$E$22,"Ambos")+COUNTIFS('S5'!$B$6:$B$20,$A109,'S5'!$E$6:$E$20,"Diego")+COUNTIFS('S5'!$B$6:$B$20,$A109,'S5'!$E$6:$E$20,"Ambos")+COUNTIFS('S6'!$B$6:$B$17,$A109,'S6'!$E$6:$E$17,"Diego")+COUNTIFS('S6'!$B$6:$B$17,$A109,'S6'!$E$6:$E$17,"Ambos")+COUNTIFS('S7'!$B$6:$B$19,$A109,'S7'!$E$6:$E$19,"Diego")+COUNTIFS('S7'!$B$6:$B$19,$A109,'S7'!$E$6:$E$19,"Ambos")+COUNTIFS('S8'!$B$6:$B$23,$A109,'S8'!$E$6:$E$23,"Diego")+COUNTIFS('S8'!$B$6:$B$23,$A109,'S8'!$E$6:$E$23,"Ambos")+COUNTIFS('S9'!$B$6:$B$15,$A109,'S9'!$E$6:$E$15,"Diego")+COUNTIFS('S9'!$B$6:$B$15,$A109,'S9'!$E$6:$E$15,"Ambos")+COUNTIFS('S10'!$B$6:$B$13,$A109,'S10'!$E$6:$E$13,"Diego")+COUNTIFS('S10'!$B$6:$B$13,$A109,'S10'!$E$6:$E$13,"Ambos")+COUNTIFS('Holgura'!$B$6:$B$11,$A109,'Holgura'!$E$6:$E$11,"Diego")+COUNTIFS('Holgura'!$B$6:$B$11,$A109,'Holgura'!$E$6:$E$11,"Ambos")+COUNTIFS('Entrega'!$B$6:$B$9,$A109,'Entrega'!$E$6:$E$9,"Diego")+COUNTIFS('Entrega'!$B$6:$B$9,$A109,'Entrega'!$E$6:$E$9,"Ambos")+COUNTIFS('Defensa'!$B$6:$B$10,$A109,'Defensa'!$E$6:$E$10,"Diego")+COUNTIFS('Defensa'!$B$6:$B$10,$A109,'Defensa'!$E$6:$E$10,"Ambos")</f>
        <v/>
      </c>
    </row>
    <row r="110">
      <c r="A110" s="25" t="n">
        <v>46412</v>
      </c>
      <c r="B110" s="26">
        <f>A110</f>
        <v/>
      </c>
      <c r="C110" s="21">
        <f>IF(WEEKDAY(A110,2)&gt;5,4,2)</f>
        <v/>
      </c>
      <c r="D110" s="21">
        <f>SUMIFS('S1'!$I$6:$I$32,'S1'!$B$6:$B$32,$A110,'S1'!$E$6:$E$32,"Víctor")+SUMIFS('S1'!$I$6:$I$32,'S1'!$B$6:$B$32,$A110,'S1'!$E$6:$E$32,"Ambos")+SUMIFS('S2'!$I$6:$I$23,'S2'!$B$6:$B$23,$A110,'S2'!$E$6:$E$23,"Víctor")+SUMIFS('S2'!$I$6:$I$23,'S2'!$B$6:$B$23,$A110,'S2'!$E$6:$E$23,"Ambos")+SUMIFS('S3'!$I$6:$I$24,'S3'!$B$6:$B$24,$A110,'S3'!$E$6:$E$24,"Víctor")+SUMIFS('S3'!$I$6:$I$24,'S3'!$B$6:$B$24,$A110,'S3'!$E$6:$E$24,"Ambos")+SUMIFS('S4'!$I$6:$I$22,'S4'!$B$6:$B$22,$A110,'S4'!$E$6:$E$22,"Víctor")+SUMIFS('S4'!$I$6:$I$22,'S4'!$B$6:$B$22,$A110,'S4'!$E$6:$E$22,"Ambos")+SUMIFS('S5'!$I$6:$I$20,'S5'!$B$6:$B$20,$A110,'S5'!$E$6:$E$20,"Víctor")+SUMIFS('S5'!$I$6:$I$20,'S5'!$B$6:$B$20,$A110,'S5'!$E$6:$E$20,"Ambos")+SUMIFS('S6'!$I$6:$I$17,'S6'!$B$6:$B$17,$A110,'S6'!$E$6:$E$17,"Víctor")+SUMIFS('S6'!$I$6:$I$17,'S6'!$B$6:$B$17,$A110,'S6'!$E$6:$E$17,"Ambos")+SUMIFS('S7'!$I$6:$I$19,'S7'!$B$6:$B$19,$A110,'S7'!$E$6:$E$19,"Víctor")+SUMIFS('S7'!$I$6:$I$19,'S7'!$B$6:$B$19,$A110,'S7'!$E$6:$E$19,"Ambos")+SUMIFS('S8'!$I$6:$I$23,'S8'!$B$6:$B$23,$A110,'S8'!$E$6:$E$23,"Víctor")+SUMIFS('S8'!$I$6:$I$23,'S8'!$B$6:$B$23,$A110,'S8'!$E$6:$E$23,"Ambos")+SUMIFS('S9'!$I$6:$I$15,'S9'!$B$6:$B$15,$A110,'S9'!$E$6:$E$15,"Víctor")+SUMIFS('S9'!$I$6:$I$15,'S9'!$B$6:$B$15,$A110,'S9'!$E$6:$E$15,"Ambos")+SUMIFS('S10'!$I$6:$I$13,'S10'!$B$6:$B$13,$A110,'S10'!$E$6:$E$13,"Víctor")+SUMIFS('S10'!$I$6:$I$13,'S10'!$B$6:$B$13,$A110,'S10'!$E$6:$E$13,"Ambos")+SUMIFS('Holgura'!$I$6:$I$11,'Holgura'!$B$6:$B$11,$A110,'Holgura'!$E$6:$E$11,"Víctor")+SUMIFS('Holgura'!$I$6:$I$11,'Holgura'!$B$6:$B$11,$A110,'Holgura'!$E$6:$E$11,"Ambos")+SUMIFS('Entrega'!$I$6:$I$9,'Entrega'!$B$6:$B$9,$A110,'Entrega'!$E$6:$E$9,"Víctor")+SUMIFS('Entrega'!$I$6:$I$9,'Entrega'!$B$6:$B$9,$A110,'Entrega'!$E$6:$E$9,"Ambos")+SUMIFS('Defensa'!$I$6:$I$10,'Defensa'!$B$6:$B$10,$A110,'Defensa'!$E$6:$E$10,"Víctor")+SUMIFS('Defensa'!$I$6:$I$10,'Defensa'!$B$6:$B$10,$A110,'Defensa'!$E$6:$E$10,"Ambos")</f>
        <v/>
      </c>
      <c r="E110" s="21">
        <f>SUMIFS('S1'!$I$6:$I$32,'S1'!$B$6:$B$32,$A110,'S1'!$E$6:$E$32,"Diego")+SUMIFS('S1'!$I$6:$I$32,'S1'!$B$6:$B$32,$A110,'S1'!$E$6:$E$32,"Ambos")+SUMIFS('S2'!$I$6:$I$23,'S2'!$B$6:$B$23,$A110,'S2'!$E$6:$E$23,"Diego")+SUMIFS('S2'!$I$6:$I$23,'S2'!$B$6:$B$23,$A110,'S2'!$E$6:$E$23,"Ambos")+SUMIFS('S3'!$I$6:$I$24,'S3'!$B$6:$B$24,$A110,'S3'!$E$6:$E$24,"Diego")+SUMIFS('S3'!$I$6:$I$24,'S3'!$B$6:$B$24,$A110,'S3'!$E$6:$E$24,"Ambos")+SUMIFS('S4'!$I$6:$I$22,'S4'!$B$6:$B$22,$A110,'S4'!$E$6:$E$22,"Diego")+SUMIFS('S4'!$I$6:$I$22,'S4'!$B$6:$B$22,$A110,'S4'!$E$6:$E$22,"Ambos")+SUMIFS('S5'!$I$6:$I$20,'S5'!$B$6:$B$20,$A110,'S5'!$E$6:$E$20,"Diego")+SUMIFS('S5'!$I$6:$I$20,'S5'!$B$6:$B$20,$A110,'S5'!$E$6:$E$20,"Ambos")+SUMIFS('S6'!$I$6:$I$17,'S6'!$B$6:$B$17,$A110,'S6'!$E$6:$E$17,"Diego")+SUMIFS('S6'!$I$6:$I$17,'S6'!$B$6:$B$17,$A110,'S6'!$E$6:$E$17,"Ambos")+SUMIFS('S7'!$I$6:$I$19,'S7'!$B$6:$B$19,$A110,'S7'!$E$6:$E$19,"Diego")+SUMIFS('S7'!$I$6:$I$19,'S7'!$B$6:$B$19,$A110,'S7'!$E$6:$E$19,"Ambos")+SUMIFS('S8'!$I$6:$I$23,'S8'!$B$6:$B$23,$A110,'S8'!$E$6:$E$23,"Diego")+SUMIFS('S8'!$I$6:$I$23,'S8'!$B$6:$B$23,$A110,'S8'!$E$6:$E$23,"Ambos")+SUMIFS('S9'!$I$6:$I$15,'S9'!$B$6:$B$15,$A110,'S9'!$E$6:$E$15,"Diego")+SUMIFS('S9'!$I$6:$I$15,'S9'!$B$6:$B$15,$A110,'S9'!$E$6:$E$15,"Ambos")+SUMIFS('S10'!$I$6:$I$13,'S10'!$B$6:$B$13,$A110,'S10'!$E$6:$E$13,"Diego")+SUMIFS('S10'!$I$6:$I$13,'S10'!$B$6:$B$13,$A110,'S10'!$E$6:$E$13,"Ambos")+SUMIFS('Holgura'!$I$6:$I$11,'Holgura'!$B$6:$B$11,$A110,'Holgura'!$E$6:$E$11,"Diego")+SUMIFS('Holgura'!$I$6:$I$11,'Holgura'!$B$6:$B$11,$A110,'Holgura'!$E$6:$E$11,"Ambos")+SUMIFS('Entrega'!$I$6:$I$9,'Entrega'!$B$6:$B$9,$A110,'Entrega'!$E$6:$E$9,"Diego")+SUMIFS('Entrega'!$I$6:$I$9,'Entrega'!$B$6:$B$9,$A110,'Entrega'!$E$6:$E$9,"Ambos")+SUMIFS('Defensa'!$I$6:$I$10,'Defensa'!$B$6:$B$10,$A110,'Defensa'!$E$6:$E$10,"Diego")+SUMIFS('Defensa'!$I$6:$I$10,'Defensa'!$B$6:$B$10,$A110,'Defensa'!$E$6:$E$10,"Ambos")</f>
        <v/>
      </c>
      <c r="F110" s="21">
        <f>COUNTIFS('S1'!$B$6:$B$32,$A110,'S1'!$E$6:$E$32,"Víctor")+COUNTIFS('S1'!$B$6:$B$32,$A110,'S1'!$E$6:$E$32,"Ambos")+COUNTIFS('S2'!$B$6:$B$23,$A110,'S2'!$E$6:$E$23,"Víctor")+COUNTIFS('S2'!$B$6:$B$23,$A110,'S2'!$E$6:$E$23,"Ambos")+COUNTIFS('S3'!$B$6:$B$24,$A110,'S3'!$E$6:$E$24,"Víctor")+COUNTIFS('S3'!$B$6:$B$24,$A110,'S3'!$E$6:$E$24,"Ambos")+COUNTIFS('S4'!$B$6:$B$22,$A110,'S4'!$E$6:$E$22,"Víctor")+COUNTIFS('S4'!$B$6:$B$22,$A110,'S4'!$E$6:$E$22,"Ambos")+COUNTIFS('S5'!$B$6:$B$20,$A110,'S5'!$E$6:$E$20,"Víctor")+COUNTIFS('S5'!$B$6:$B$20,$A110,'S5'!$E$6:$E$20,"Ambos")+COUNTIFS('S6'!$B$6:$B$17,$A110,'S6'!$E$6:$E$17,"Víctor")+COUNTIFS('S6'!$B$6:$B$17,$A110,'S6'!$E$6:$E$17,"Ambos")+COUNTIFS('S7'!$B$6:$B$19,$A110,'S7'!$E$6:$E$19,"Víctor")+COUNTIFS('S7'!$B$6:$B$19,$A110,'S7'!$E$6:$E$19,"Ambos")+COUNTIFS('S8'!$B$6:$B$23,$A110,'S8'!$E$6:$E$23,"Víctor")+COUNTIFS('S8'!$B$6:$B$23,$A110,'S8'!$E$6:$E$23,"Ambos")+COUNTIFS('S9'!$B$6:$B$15,$A110,'S9'!$E$6:$E$15,"Víctor")+COUNTIFS('S9'!$B$6:$B$15,$A110,'S9'!$E$6:$E$15,"Ambos")+COUNTIFS('S10'!$B$6:$B$13,$A110,'S10'!$E$6:$E$13,"Víctor")+COUNTIFS('S10'!$B$6:$B$13,$A110,'S10'!$E$6:$E$13,"Ambos")+COUNTIFS('Holgura'!$B$6:$B$11,$A110,'Holgura'!$E$6:$E$11,"Víctor")+COUNTIFS('Holgura'!$B$6:$B$11,$A110,'Holgura'!$E$6:$E$11,"Ambos")+COUNTIFS('Entrega'!$B$6:$B$9,$A110,'Entrega'!$E$6:$E$9,"Víctor")+COUNTIFS('Entrega'!$B$6:$B$9,$A110,'Entrega'!$E$6:$E$9,"Ambos")+COUNTIFS('Defensa'!$B$6:$B$10,$A110,'Defensa'!$E$6:$E$10,"Víctor")+COUNTIFS('Defensa'!$B$6:$B$10,$A110,'Defensa'!$E$6:$E$10,"Ambos")</f>
        <v/>
      </c>
      <c r="G110" s="21">
        <f>COUNTIFS('S1'!$B$6:$B$32,$A110,'S1'!$E$6:$E$32,"Diego")+COUNTIFS('S1'!$B$6:$B$32,$A110,'S1'!$E$6:$E$32,"Ambos")+COUNTIFS('S2'!$B$6:$B$23,$A110,'S2'!$E$6:$E$23,"Diego")+COUNTIFS('S2'!$B$6:$B$23,$A110,'S2'!$E$6:$E$23,"Ambos")+COUNTIFS('S3'!$B$6:$B$24,$A110,'S3'!$E$6:$E$24,"Diego")+COUNTIFS('S3'!$B$6:$B$24,$A110,'S3'!$E$6:$E$24,"Ambos")+COUNTIFS('S4'!$B$6:$B$22,$A110,'S4'!$E$6:$E$22,"Diego")+COUNTIFS('S4'!$B$6:$B$22,$A110,'S4'!$E$6:$E$22,"Ambos")+COUNTIFS('S5'!$B$6:$B$20,$A110,'S5'!$E$6:$E$20,"Diego")+COUNTIFS('S5'!$B$6:$B$20,$A110,'S5'!$E$6:$E$20,"Ambos")+COUNTIFS('S6'!$B$6:$B$17,$A110,'S6'!$E$6:$E$17,"Diego")+COUNTIFS('S6'!$B$6:$B$17,$A110,'S6'!$E$6:$E$17,"Ambos")+COUNTIFS('S7'!$B$6:$B$19,$A110,'S7'!$E$6:$E$19,"Diego")+COUNTIFS('S7'!$B$6:$B$19,$A110,'S7'!$E$6:$E$19,"Ambos")+COUNTIFS('S8'!$B$6:$B$23,$A110,'S8'!$E$6:$E$23,"Diego")+COUNTIFS('S8'!$B$6:$B$23,$A110,'S8'!$E$6:$E$23,"Ambos")+COUNTIFS('S9'!$B$6:$B$15,$A110,'S9'!$E$6:$E$15,"Diego")+COUNTIFS('S9'!$B$6:$B$15,$A110,'S9'!$E$6:$E$15,"Ambos")+COUNTIFS('S10'!$B$6:$B$13,$A110,'S10'!$E$6:$E$13,"Diego")+COUNTIFS('S10'!$B$6:$B$13,$A110,'S10'!$E$6:$E$13,"Ambos")+COUNTIFS('Holgura'!$B$6:$B$11,$A110,'Holgura'!$E$6:$E$11,"Diego")+COUNTIFS('Holgura'!$B$6:$B$11,$A110,'Holgura'!$E$6:$E$11,"Ambos")+COUNTIFS('Entrega'!$B$6:$B$9,$A110,'Entrega'!$E$6:$E$9,"Diego")+COUNTIFS('Entrega'!$B$6:$B$9,$A110,'Entrega'!$E$6:$E$9,"Ambos")+COUNTIFS('Defensa'!$B$6:$B$10,$A110,'Defensa'!$E$6:$E$10,"Diego")+COUNTIFS('Defensa'!$B$6:$B$10,$A110,'Defensa'!$E$6:$E$10,"Ambos")</f>
        <v/>
      </c>
    </row>
    <row r="111">
      <c r="A111" s="25" t="n">
        <v>46413</v>
      </c>
      <c r="B111" s="26">
        <f>A111</f>
        <v/>
      </c>
      <c r="C111" s="21">
        <f>IF(WEEKDAY(A111,2)&gt;5,4,2)</f>
        <v/>
      </c>
      <c r="D111" s="21">
        <f>SUMIFS('S1'!$I$6:$I$32,'S1'!$B$6:$B$32,$A111,'S1'!$E$6:$E$32,"Víctor")+SUMIFS('S1'!$I$6:$I$32,'S1'!$B$6:$B$32,$A111,'S1'!$E$6:$E$32,"Ambos")+SUMIFS('S2'!$I$6:$I$23,'S2'!$B$6:$B$23,$A111,'S2'!$E$6:$E$23,"Víctor")+SUMIFS('S2'!$I$6:$I$23,'S2'!$B$6:$B$23,$A111,'S2'!$E$6:$E$23,"Ambos")+SUMIFS('S3'!$I$6:$I$24,'S3'!$B$6:$B$24,$A111,'S3'!$E$6:$E$24,"Víctor")+SUMIFS('S3'!$I$6:$I$24,'S3'!$B$6:$B$24,$A111,'S3'!$E$6:$E$24,"Ambos")+SUMIFS('S4'!$I$6:$I$22,'S4'!$B$6:$B$22,$A111,'S4'!$E$6:$E$22,"Víctor")+SUMIFS('S4'!$I$6:$I$22,'S4'!$B$6:$B$22,$A111,'S4'!$E$6:$E$22,"Ambos")+SUMIFS('S5'!$I$6:$I$20,'S5'!$B$6:$B$20,$A111,'S5'!$E$6:$E$20,"Víctor")+SUMIFS('S5'!$I$6:$I$20,'S5'!$B$6:$B$20,$A111,'S5'!$E$6:$E$20,"Ambos")+SUMIFS('S6'!$I$6:$I$17,'S6'!$B$6:$B$17,$A111,'S6'!$E$6:$E$17,"Víctor")+SUMIFS('S6'!$I$6:$I$17,'S6'!$B$6:$B$17,$A111,'S6'!$E$6:$E$17,"Ambos")+SUMIFS('S7'!$I$6:$I$19,'S7'!$B$6:$B$19,$A111,'S7'!$E$6:$E$19,"Víctor")+SUMIFS('S7'!$I$6:$I$19,'S7'!$B$6:$B$19,$A111,'S7'!$E$6:$E$19,"Ambos")+SUMIFS('S8'!$I$6:$I$23,'S8'!$B$6:$B$23,$A111,'S8'!$E$6:$E$23,"Víctor")+SUMIFS('S8'!$I$6:$I$23,'S8'!$B$6:$B$23,$A111,'S8'!$E$6:$E$23,"Ambos")+SUMIFS('S9'!$I$6:$I$15,'S9'!$B$6:$B$15,$A111,'S9'!$E$6:$E$15,"Víctor")+SUMIFS('S9'!$I$6:$I$15,'S9'!$B$6:$B$15,$A111,'S9'!$E$6:$E$15,"Ambos")+SUMIFS('S10'!$I$6:$I$13,'S10'!$B$6:$B$13,$A111,'S10'!$E$6:$E$13,"Víctor")+SUMIFS('S10'!$I$6:$I$13,'S10'!$B$6:$B$13,$A111,'S10'!$E$6:$E$13,"Ambos")+SUMIFS('Holgura'!$I$6:$I$11,'Holgura'!$B$6:$B$11,$A111,'Holgura'!$E$6:$E$11,"Víctor")+SUMIFS('Holgura'!$I$6:$I$11,'Holgura'!$B$6:$B$11,$A111,'Holgura'!$E$6:$E$11,"Ambos")+SUMIFS('Entrega'!$I$6:$I$9,'Entrega'!$B$6:$B$9,$A111,'Entrega'!$E$6:$E$9,"Víctor")+SUMIFS('Entrega'!$I$6:$I$9,'Entrega'!$B$6:$B$9,$A111,'Entrega'!$E$6:$E$9,"Ambos")+SUMIFS('Defensa'!$I$6:$I$10,'Defensa'!$B$6:$B$10,$A111,'Defensa'!$E$6:$E$10,"Víctor")+SUMIFS('Defensa'!$I$6:$I$10,'Defensa'!$B$6:$B$10,$A111,'Defensa'!$E$6:$E$10,"Ambos")</f>
        <v/>
      </c>
      <c r="E111" s="21">
        <f>SUMIFS('S1'!$I$6:$I$32,'S1'!$B$6:$B$32,$A111,'S1'!$E$6:$E$32,"Diego")+SUMIFS('S1'!$I$6:$I$32,'S1'!$B$6:$B$32,$A111,'S1'!$E$6:$E$32,"Ambos")+SUMIFS('S2'!$I$6:$I$23,'S2'!$B$6:$B$23,$A111,'S2'!$E$6:$E$23,"Diego")+SUMIFS('S2'!$I$6:$I$23,'S2'!$B$6:$B$23,$A111,'S2'!$E$6:$E$23,"Ambos")+SUMIFS('S3'!$I$6:$I$24,'S3'!$B$6:$B$24,$A111,'S3'!$E$6:$E$24,"Diego")+SUMIFS('S3'!$I$6:$I$24,'S3'!$B$6:$B$24,$A111,'S3'!$E$6:$E$24,"Ambos")+SUMIFS('S4'!$I$6:$I$22,'S4'!$B$6:$B$22,$A111,'S4'!$E$6:$E$22,"Diego")+SUMIFS('S4'!$I$6:$I$22,'S4'!$B$6:$B$22,$A111,'S4'!$E$6:$E$22,"Ambos")+SUMIFS('S5'!$I$6:$I$20,'S5'!$B$6:$B$20,$A111,'S5'!$E$6:$E$20,"Diego")+SUMIFS('S5'!$I$6:$I$20,'S5'!$B$6:$B$20,$A111,'S5'!$E$6:$E$20,"Ambos")+SUMIFS('S6'!$I$6:$I$17,'S6'!$B$6:$B$17,$A111,'S6'!$E$6:$E$17,"Diego")+SUMIFS('S6'!$I$6:$I$17,'S6'!$B$6:$B$17,$A111,'S6'!$E$6:$E$17,"Ambos")+SUMIFS('S7'!$I$6:$I$19,'S7'!$B$6:$B$19,$A111,'S7'!$E$6:$E$19,"Diego")+SUMIFS('S7'!$I$6:$I$19,'S7'!$B$6:$B$19,$A111,'S7'!$E$6:$E$19,"Ambos")+SUMIFS('S8'!$I$6:$I$23,'S8'!$B$6:$B$23,$A111,'S8'!$E$6:$E$23,"Diego")+SUMIFS('S8'!$I$6:$I$23,'S8'!$B$6:$B$23,$A111,'S8'!$E$6:$E$23,"Ambos")+SUMIFS('S9'!$I$6:$I$15,'S9'!$B$6:$B$15,$A111,'S9'!$E$6:$E$15,"Diego")+SUMIFS('S9'!$I$6:$I$15,'S9'!$B$6:$B$15,$A111,'S9'!$E$6:$E$15,"Ambos")+SUMIFS('S10'!$I$6:$I$13,'S10'!$B$6:$B$13,$A111,'S10'!$E$6:$E$13,"Diego")+SUMIFS('S10'!$I$6:$I$13,'S10'!$B$6:$B$13,$A111,'S10'!$E$6:$E$13,"Ambos")+SUMIFS('Holgura'!$I$6:$I$11,'Holgura'!$B$6:$B$11,$A111,'Holgura'!$E$6:$E$11,"Diego")+SUMIFS('Holgura'!$I$6:$I$11,'Holgura'!$B$6:$B$11,$A111,'Holgura'!$E$6:$E$11,"Ambos")+SUMIFS('Entrega'!$I$6:$I$9,'Entrega'!$B$6:$B$9,$A111,'Entrega'!$E$6:$E$9,"Diego")+SUMIFS('Entrega'!$I$6:$I$9,'Entrega'!$B$6:$B$9,$A111,'Entrega'!$E$6:$E$9,"Ambos")+SUMIFS('Defensa'!$I$6:$I$10,'Defensa'!$B$6:$B$10,$A111,'Defensa'!$E$6:$E$10,"Diego")+SUMIFS('Defensa'!$I$6:$I$10,'Defensa'!$B$6:$B$10,$A111,'Defensa'!$E$6:$E$10,"Ambos")</f>
        <v/>
      </c>
      <c r="F111" s="21">
        <f>COUNTIFS('S1'!$B$6:$B$32,$A111,'S1'!$E$6:$E$32,"Víctor")+COUNTIFS('S1'!$B$6:$B$32,$A111,'S1'!$E$6:$E$32,"Ambos")+COUNTIFS('S2'!$B$6:$B$23,$A111,'S2'!$E$6:$E$23,"Víctor")+COUNTIFS('S2'!$B$6:$B$23,$A111,'S2'!$E$6:$E$23,"Ambos")+COUNTIFS('S3'!$B$6:$B$24,$A111,'S3'!$E$6:$E$24,"Víctor")+COUNTIFS('S3'!$B$6:$B$24,$A111,'S3'!$E$6:$E$24,"Ambos")+COUNTIFS('S4'!$B$6:$B$22,$A111,'S4'!$E$6:$E$22,"Víctor")+COUNTIFS('S4'!$B$6:$B$22,$A111,'S4'!$E$6:$E$22,"Ambos")+COUNTIFS('S5'!$B$6:$B$20,$A111,'S5'!$E$6:$E$20,"Víctor")+COUNTIFS('S5'!$B$6:$B$20,$A111,'S5'!$E$6:$E$20,"Ambos")+COUNTIFS('S6'!$B$6:$B$17,$A111,'S6'!$E$6:$E$17,"Víctor")+COUNTIFS('S6'!$B$6:$B$17,$A111,'S6'!$E$6:$E$17,"Ambos")+COUNTIFS('S7'!$B$6:$B$19,$A111,'S7'!$E$6:$E$19,"Víctor")+COUNTIFS('S7'!$B$6:$B$19,$A111,'S7'!$E$6:$E$19,"Ambos")+COUNTIFS('S8'!$B$6:$B$23,$A111,'S8'!$E$6:$E$23,"Víctor")+COUNTIFS('S8'!$B$6:$B$23,$A111,'S8'!$E$6:$E$23,"Ambos")+COUNTIFS('S9'!$B$6:$B$15,$A111,'S9'!$E$6:$E$15,"Víctor")+COUNTIFS('S9'!$B$6:$B$15,$A111,'S9'!$E$6:$E$15,"Ambos")+COUNTIFS('S10'!$B$6:$B$13,$A111,'S10'!$E$6:$E$13,"Víctor")+COUNTIFS('S10'!$B$6:$B$13,$A111,'S10'!$E$6:$E$13,"Ambos")+COUNTIFS('Holgura'!$B$6:$B$11,$A111,'Holgura'!$E$6:$E$11,"Víctor")+COUNTIFS('Holgura'!$B$6:$B$11,$A111,'Holgura'!$E$6:$E$11,"Ambos")+COUNTIFS('Entrega'!$B$6:$B$9,$A111,'Entrega'!$E$6:$E$9,"Víctor")+COUNTIFS('Entrega'!$B$6:$B$9,$A111,'Entrega'!$E$6:$E$9,"Ambos")+COUNTIFS('Defensa'!$B$6:$B$10,$A111,'Defensa'!$E$6:$E$10,"Víctor")+COUNTIFS('Defensa'!$B$6:$B$10,$A111,'Defensa'!$E$6:$E$10,"Ambos")</f>
        <v/>
      </c>
      <c r="G111" s="21">
        <f>COUNTIFS('S1'!$B$6:$B$32,$A111,'S1'!$E$6:$E$32,"Diego")+COUNTIFS('S1'!$B$6:$B$32,$A111,'S1'!$E$6:$E$32,"Ambos")+COUNTIFS('S2'!$B$6:$B$23,$A111,'S2'!$E$6:$E$23,"Diego")+COUNTIFS('S2'!$B$6:$B$23,$A111,'S2'!$E$6:$E$23,"Ambos")+COUNTIFS('S3'!$B$6:$B$24,$A111,'S3'!$E$6:$E$24,"Diego")+COUNTIFS('S3'!$B$6:$B$24,$A111,'S3'!$E$6:$E$24,"Ambos")+COUNTIFS('S4'!$B$6:$B$22,$A111,'S4'!$E$6:$E$22,"Diego")+COUNTIFS('S4'!$B$6:$B$22,$A111,'S4'!$E$6:$E$22,"Ambos")+COUNTIFS('S5'!$B$6:$B$20,$A111,'S5'!$E$6:$E$20,"Diego")+COUNTIFS('S5'!$B$6:$B$20,$A111,'S5'!$E$6:$E$20,"Ambos")+COUNTIFS('S6'!$B$6:$B$17,$A111,'S6'!$E$6:$E$17,"Diego")+COUNTIFS('S6'!$B$6:$B$17,$A111,'S6'!$E$6:$E$17,"Ambos")+COUNTIFS('S7'!$B$6:$B$19,$A111,'S7'!$E$6:$E$19,"Diego")+COUNTIFS('S7'!$B$6:$B$19,$A111,'S7'!$E$6:$E$19,"Ambos")+COUNTIFS('S8'!$B$6:$B$23,$A111,'S8'!$E$6:$E$23,"Diego")+COUNTIFS('S8'!$B$6:$B$23,$A111,'S8'!$E$6:$E$23,"Ambos")+COUNTIFS('S9'!$B$6:$B$15,$A111,'S9'!$E$6:$E$15,"Diego")+COUNTIFS('S9'!$B$6:$B$15,$A111,'S9'!$E$6:$E$15,"Ambos")+COUNTIFS('S10'!$B$6:$B$13,$A111,'S10'!$E$6:$E$13,"Diego")+COUNTIFS('S10'!$B$6:$B$13,$A111,'S10'!$E$6:$E$13,"Ambos")+COUNTIFS('Holgura'!$B$6:$B$11,$A111,'Holgura'!$E$6:$E$11,"Diego")+COUNTIFS('Holgura'!$B$6:$B$11,$A111,'Holgura'!$E$6:$E$11,"Ambos")+COUNTIFS('Entrega'!$B$6:$B$9,$A111,'Entrega'!$E$6:$E$9,"Diego")+COUNTIFS('Entrega'!$B$6:$B$9,$A111,'Entrega'!$E$6:$E$9,"Ambos")+COUNTIFS('Defensa'!$B$6:$B$10,$A111,'Defensa'!$E$6:$E$10,"Diego")+COUNTIFS('Defensa'!$B$6:$B$10,$A111,'Defensa'!$E$6:$E$10,"Ambos")</f>
        <v/>
      </c>
    </row>
    <row r="112">
      <c r="A112" s="25" t="n">
        <v>46414</v>
      </c>
      <c r="B112" s="26">
        <f>A112</f>
        <v/>
      </c>
      <c r="C112" s="21">
        <f>IF(WEEKDAY(A112,2)&gt;5,4,2)</f>
        <v/>
      </c>
      <c r="D112" s="21">
        <f>SUMIFS('S1'!$I$6:$I$32,'S1'!$B$6:$B$32,$A112,'S1'!$E$6:$E$32,"Víctor")+SUMIFS('S1'!$I$6:$I$32,'S1'!$B$6:$B$32,$A112,'S1'!$E$6:$E$32,"Ambos")+SUMIFS('S2'!$I$6:$I$23,'S2'!$B$6:$B$23,$A112,'S2'!$E$6:$E$23,"Víctor")+SUMIFS('S2'!$I$6:$I$23,'S2'!$B$6:$B$23,$A112,'S2'!$E$6:$E$23,"Ambos")+SUMIFS('S3'!$I$6:$I$24,'S3'!$B$6:$B$24,$A112,'S3'!$E$6:$E$24,"Víctor")+SUMIFS('S3'!$I$6:$I$24,'S3'!$B$6:$B$24,$A112,'S3'!$E$6:$E$24,"Ambos")+SUMIFS('S4'!$I$6:$I$22,'S4'!$B$6:$B$22,$A112,'S4'!$E$6:$E$22,"Víctor")+SUMIFS('S4'!$I$6:$I$22,'S4'!$B$6:$B$22,$A112,'S4'!$E$6:$E$22,"Ambos")+SUMIFS('S5'!$I$6:$I$20,'S5'!$B$6:$B$20,$A112,'S5'!$E$6:$E$20,"Víctor")+SUMIFS('S5'!$I$6:$I$20,'S5'!$B$6:$B$20,$A112,'S5'!$E$6:$E$20,"Ambos")+SUMIFS('S6'!$I$6:$I$17,'S6'!$B$6:$B$17,$A112,'S6'!$E$6:$E$17,"Víctor")+SUMIFS('S6'!$I$6:$I$17,'S6'!$B$6:$B$17,$A112,'S6'!$E$6:$E$17,"Ambos")+SUMIFS('S7'!$I$6:$I$19,'S7'!$B$6:$B$19,$A112,'S7'!$E$6:$E$19,"Víctor")+SUMIFS('S7'!$I$6:$I$19,'S7'!$B$6:$B$19,$A112,'S7'!$E$6:$E$19,"Ambos")+SUMIFS('S8'!$I$6:$I$23,'S8'!$B$6:$B$23,$A112,'S8'!$E$6:$E$23,"Víctor")+SUMIFS('S8'!$I$6:$I$23,'S8'!$B$6:$B$23,$A112,'S8'!$E$6:$E$23,"Ambos")+SUMIFS('S9'!$I$6:$I$15,'S9'!$B$6:$B$15,$A112,'S9'!$E$6:$E$15,"Víctor")+SUMIFS('S9'!$I$6:$I$15,'S9'!$B$6:$B$15,$A112,'S9'!$E$6:$E$15,"Ambos")+SUMIFS('S10'!$I$6:$I$13,'S10'!$B$6:$B$13,$A112,'S10'!$E$6:$E$13,"Víctor")+SUMIFS('S10'!$I$6:$I$13,'S10'!$B$6:$B$13,$A112,'S10'!$E$6:$E$13,"Ambos")+SUMIFS('Holgura'!$I$6:$I$11,'Holgura'!$B$6:$B$11,$A112,'Holgura'!$E$6:$E$11,"Víctor")+SUMIFS('Holgura'!$I$6:$I$11,'Holgura'!$B$6:$B$11,$A112,'Holgura'!$E$6:$E$11,"Ambos")+SUMIFS('Entrega'!$I$6:$I$9,'Entrega'!$B$6:$B$9,$A112,'Entrega'!$E$6:$E$9,"Víctor")+SUMIFS('Entrega'!$I$6:$I$9,'Entrega'!$B$6:$B$9,$A112,'Entrega'!$E$6:$E$9,"Ambos")+SUMIFS('Defensa'!$I$6:$I$10,'Defensa'!$B$6:$B$10,$A112,'Defensa'!$E$6:$E$10,"Víctor")+SUMIFS('Defensa'!$I$6:$I$10,'Defensa'!$B$6:$B$10,$A112,'Defensa'!$E$6:$E$10,"Ambos")</f>
        <v/>
      </c>
      <c r="E112" s="21">
        <f>SUMIFS('S1'!$I$6:$I$32,'S1'!$B$6:$B$32,$A112,'S1'!$E$6:$E$32,"Diego")+SUMIFS('S1'!$I$6:$I$32,'S1'!$B$6:$B$32,$A112,'S1'!$E$6:$E$32,"Ambos")+SUMIFS('S2'!$I$6:$I$23,'S2'!$B$6:$B$23,$A112,'S2'!$E$6:$E$23,"Diego")+SUMIFS('S2'!$I$6:$I$23,'S2'!$B$6:$B$23,$A112,'S2'!$E$6:$E$23,"Ambos")+SUMIFS('S3'!$I$6:$I$24,'S3'!$B$6:$B$24,$A112,'S3'!$E$6:$E$24,"Diego")+SUMIFS('S3'!$I$6:$I$24,'S3'!$B$6:$B$24,$A112,'S3'!$E$6:$E$24,"Ambos")+SUMIFS('S4'!$I$6:$I$22,'S4'!$B$6:$B$22,$A112,'S4'!$E$6:$E$22,"Diego")+SUMIFS('S4'!$I$6:$I$22,'S4'!$B$6:$B$22,$A112,'S4'!$E$6:$E$22,"Ambos")+SUMIFS('S5'!$I$6:$I$20,'S5'!$B$6:$B$20,$A112,'S5'!$E$6:$E$20,"Diego")+SUMIFS('S5'!$I$6:$I$20,'S5'!$B$6:$B$20,$A112,'S5'!$E$6:$E$20,"Ambos")+SUMIFS('S6'!$I$6:$I$17,'S6'!$B$6:$B$17,$A112,'S6'!$E$6:$E$17,"Diego")+SUMIFS('S6'!$I$6:$I$17,'S6'!$B$6:$B$17,$A112,'S6'!$E$6:$E$17,"Ambos")+SUMIFS('S7'!$I$6:$I$19,'S7'!$B$6:$B$19,$A112,'S7'!$E$6:$E$19,"Diego")+SUMIFS('S7'!$I$6:$I$19,'S7'!$B$6:$B$19,$A112,'S7'!$E$6:$E$19,"Ambos")+SUMIFS('S8'!$I$6:$I$23,'S8'!$B$6:$B$23,$A112,'S8'!$E$6:$E$23,"Diego")+SUMIFS('S8'!$I$6:$I$23,'S8'!$B$6:$B$23,$A112,'S8'!$E$6:$E$23,"Ambos")+SUMIFS('S9'!$I$6:$I$15,'S9'!$B$6:$B$15,$A112,'S9'!$E$6:$E$15,"Diego")+SUMIFS('S9'!$I$6:$I$15,'S9'!$B$6:$B$15,$A112,'S9'!$E$6:$E$15,"Ambos")+SUMIFS('S10'!$I$6:$I$13,'S10'!$B$6:$B$13,$A112,'S10'!$E$6:$E$13,"Diego")+SUMIFS('S10'!$I$6:$I$13,'S10'!$B$6:$B$13,$A112,'S10'!$E$6:$E$13,"Ambos")+SUMIFS('Holgura'!$I$6:$I$11,'Holgura'!$B$6:$B$11,$A112,'Holgura'!$E$6:$E$11,"Diego")+SUMIFS('Holgura'!$I$6:$I$11,'Holgura'!$B$6:$B$11,$A112,'Holgura'!$E$6:$E$11,"Ambos")+SUMIFS('Entrega'!$I$6:$I$9,'Entrega'!$B$6:$B$9,$A112,'Entrega'!$E$6:$E$9,"Diego")+SUMIFS('Entrega'!$I$6:$I$9,'Entrega'!$B$6:$B$9,$A112,'Entrega'!$E$6:$E$9,"Ambos")+SUMIFS('Defensa'!$I$6:$I$10,'Defensa'!$B$6:$B$10,$A112,'Defensa'!$E$6:$E$10,"Diego")+SUMIFS('Defensa'!$I$6:$I$10,'Defensa'!$B$6:$B$10,$A112,'Defensa'!$E$6:$E$10,"Ambos")</f>
        <v/>
      </c>
      <c r="F112" s="21">
        <f>COUNTIFS('S1'!$B$6:$B$32,$A112,'S1'!$E$6:$E$32,"Víctor")+COUNTIFS('S1'!$B$6:$B$32,$A112,'S1'!$E$6:$E$32,"Ambos")+COUNTIFS('S2'!$B$6:$B$23,$A112,'S2'!$E$6:$E$23,"Víctor")+COUNTIFS('S2'!$B$6:$B$23,$A112,'S2'!$E$6:$E$23,"Ambos")+COUNTIFS('S3'!$B$6:$B$24,$A112,'S3'!$E$6:$E$24,"Víctor")+COUNTIFS('S3'!$B$6:$B$24,$A112,'S3'!$E$6:$E$24,"Ambos")+COUNTIFS('S4'!$B$6:$B$22,$A112,'S4'!$E$6:$E$22,"Víctor")+COUNTIFS('S4'!$B$6:$B$22,$A112,'S4'!$E$6:$E$22,"Ambos")+COUNTIFS('S5'!$B$6:$B$20,$A112,'S5'!$E$6:$E$20,"Víctor")+COUNTIFS('S5'!$B$6:$B$20,$A112,'S5'!$E$6:$E$20,"Ambos")+COUNTIFS('S6'!$B$6:$B$17,$A112,'S6'!$E$6:$E$17,"Víctor")+COUNTIFS('S6'!$B$6:$B$17,$A112,'S6'!$E$6:$E$17,"Ambos")+COUNTIFS('S7'!$B$6:$B$19,$A112,'S7'!$E$6:$E$19,"Víctor")+COUNTIFS('S7'!$B$6:$B$19,$A112,'S7'!$E$6:$E$19,"Ambos")+COUNTIFS('S8'!$B$6:$B$23,$A112,'S8'!$E$6:$E$23,"Víctor")+COUNTIFS('S8'!$B$6:$B$23,$A112,'S8'!$E$6:$E$23,"Ambos")+COUNTIFS('S9'!$B$6:$B$15,$A112,'S9'!$E$6:$E$15,"Víctor")+COUNTIFS('S9'!$B$6:$B$15,$A112,'S9'!$E$6:$E$15,"Ambos")+COUNTIFS('S10'!$B$6:$B$13,$A112,'S10'!$E$6:$E$13,"Víctor")+COUNTIFS('S10'!$B$6:$B$13,$A112,'S10'!$E$6:$E$13,"Ambos")+COUNTIFS('Holgura'!$B$6:$B$11,$A112,'Holgura'!$E$6:$E$11,"Víctor")+COUNTIFS('Holgura'!$B$6:$B$11,$A112,'Holgura'!$E$6:$E$11,"Ambos")+COUNTIFS('Entrega'!$B$6:$B$9,$A112,'Entrega'!$E$6:$E$9,"Víctor")+COUNTIFS('Entrega'!$B$6:$B$9,$A112,'Entrega'!$E$6:$E$9,"Ambos")+COUNTIFS('Defensa'!$B$6:$B$10,$A112,'Defensa'!$E$6:$E$10,"Víctor")+COUNTIFS('Defensa'!$B$6:$B$10,$A112,'Defensa'!$E$6:$E$10,"Ambos")</f>
        <v/>
      </c>
      <c r="G112" s="21">
        <f>COUNTIFS('S1'!$B$6:$B$32,$A112,'S1'!$E$6:$E$32,"Diego")+COUNTIFS('S1'!$B$6:$B$32,$A112,'S1'!$E$6:$E$32,"Ambos")+COUNTIFS('S2'!$B$6:$B$23,$A112,'S2'!$E$6:$E$23,"Diego")+COUNTIFS('S2'!$B$6:$B$23,$A112,'S2'!$E$6:$E$23,"Ambos")+COUNTIFS('S3'!$B$6:$B$24,$A112,'S3'!$E$6:$E$24,"Diego")+COUNTIFS('S3'!$B$6:$B$24,$A112,'S3'!$E$6:$E$24,"Ambos")+COUNTIFS('S4'!$B$6:$B$22,$A112,'S4'!$E$6:$E$22,"Diego")+COUNTIFS('S4'!$B$6:$B$22,$A112,'S4'!$E$6:$E$22,"Ambos")+COUNTIFS('S5'!$B$6:$B$20,$A112,'S5'!$E$6:$E$20,"Diego")+COUNTIFS('S5'!$B$6:$B$20,$A112,'S5'!$E$6:$E$20,"Ambos")+COUNTIFS('S6'!$B$6:$B$17,$A112,'S6'!$E$6:$E$17,"Diego")+COUNTIFS('S6'!$B$6:$B$17,$A112,'S6'!$E$6:$E$17,"Ambos")+COUNTIFS('S7'!$B$6:$B$19,$A112,'S7'!$E$6:$E$19,"Diego")+COUNTIFS('S7'!$B$6:$B$19,$A112,'S7'!$E$6:$E$19,"Ambos")+COUNTIFS('S8'!$B$6:$B$23,$A112,'S8'!$E$6:$E$23,"Diego")+COUNTIFS('S8'!$B$6:$B$23,$A112,'S8'!$E$6:$E$23,"Ambos")+COUNTIFS('S9'!$B$6:$B$15,$A112,'S9'!$E$6:$E$15,"Diego")+COUNTIFS('S9'!$B$6:$B$15,$A112,'S9'!$E$6:$E$15,"Ambos")+COUNTIFS('S10'!$B$6:$B$13,$A112,'S10'!$E$6:$E$13,"Diego")+COUNTIFS('S10'!$B$6:$B$13,$A112,'S10'!$E$6:$E$13,"Ambos")+COUNTIFS('Holgura'!$B$6:$B$11,$A112,'Holgura'!$E$6:$E$11,"Diego")+COUNTIFS('Holgura'!$B$6:$B$11,$A112,'Holgura'!$E$6:$E$11,"Ambos")+COUNTIFS('Entrega'!$B$6:$B$9,$A112,'Entrega'!$E$6:$E$9,"Diego")+COUNTIFS('Entrega'!$B$6:$B$9,$A112,'Entrega'!$E$6:$E$9,"Ambos")+COUNTIFS('Defensa'!$B$6:$B$10,$A112,'Defensa'!$E$6:$E$10,"Diego")+COUNTIFS('Defensa'!$B$6:$B$10,$A112,'Defensa'!$E$6:$E$10,"Ambos")</f>
        <v/>
      </c>
    </row>
    <row r="113">
      <c r="A113" s="25" t="n">
        <v>46415</v>
      </c>
      <c r="B113" s="26">
        <f>A113</f>
        <v/>
      </c>
      <c r="C113" s="21">
        <f>IF(WEEKDAY(A113,2)&gt;5,4,2)</f>
        <v/>
      </c>
      <c r="D113" s="21">
        <f>SUMIFS('S1'!$I$6:$I$32,'S1'!$B$6:$B$32,$A113,'S1'!$E$6:$E$32,"Víctor")+SUMIFS('S1'!$I$6:$I$32,'S1'!$B$6:$B$32,$A113,'S1'!$E$6:$E$32,"Ambos")+SUMIFS('S2'!$I$6:$I$23,'S2'!$B$6:$B$23,$A113,'S2'!$E$6:$E$23,"Víctor")+SUMIFS('S2'!$I$6:$I$23,'S2'!$B$6:$B$23,$A113,'S2'!$E$6:$E$23,"Ambos")+SUMIFS('S3'!$I$6:$I$24,'S3'!$B$6:$B$24,$A113,'S3'!$E$6:$E$24,"Víctor")+SUMIFS('S3'!$I$6:$I$24,'S3'!$B$6:$B$24,$A113,'S3'!$E$6:$E$24,"Ambos")+SUMIFS('S4'!$I$6:$I$22,'S4'!$B$6:$B$22,$A113,'S4'!$E$6:$E$22,"Víctor")+SUMIFS('S4'!$I$6:$I$22,'S4'!$B$6:$B$22,$A113,'S4'!$E$6:$E$22,"Ambos")+SUMIFS('S5'!$I$6:$I$20,'S5'!$B$6:$B$20,$A113,'S5'!$E$6:$E$20,"Víctor")+SUMIFS('S5'!$I$6:$I$20,'S5'!$B$6:$B$20,$A113,'S5'!$E$6:$E$20,"Ambos")+SUMIFS('S6'!$I$6:$I$17,'S6'!$B$6:$B$17,$A113,'S6'!$E$6:$E$17,"Víctor")+SUMIFS('S6'!$I$6:$I$17,'S6'!$B$6:$B$17,$A113,'S6'!$E$6:$E$17,"Ambos")+SUMIFS('S7'!$I$6:$I$19,'S7'!$B$6:$B$19,$A113,'S7'!$E$6:$E$19,"Víctor")+SUMIFS('S7'!$I$6:$I$19,'S7'!$B$6:$B$19,$A113,'S7'!$E$6:$E$19,"Ambos")+SUMIFS('S8'!$I$6:$I$23,'S8'!$B$6:$B$23,$A113,'S8'!$E$6:$E$23,"Víctor")+SUMIFS('S8'!$I$6:$I$23,'S8'!$B$6:$B$23,$A113,'S8'!$E$6:$E$23,"Ambos")+SUMIFS('S9'!$I$6:$I$15,'S9'!$B$6:$B$15,$A113,'S9'!$E$6:$E$15,"Víctor")+SUMIFS('S9'!$I$6:$I$15,'S9'!$B$6:$B$15,$A113,'S9'!$E$6:$E$15,"Ambos")+SUMIFS('S10'!$I$6:$I$13,'S10'!$B$6:$B$13,$A113,'S10'!$E$6:$E$13,"Víctor")+SUMIFS('S10'!$I$6:$I$13,'S10'!$B$6:$B$13,$A113,'S10'!$E$6:$E$13,"Ambos")+SUMIFS('Holgura'!$I$6:$I$11,'Holgura'!$B$6:$B$11,$A113,'Holgura'!$E$6:$E$11,"Víctor")+SUMIFS('Holgura'!$I$6:$I$11,'Holgura'!$B$6:$B$11,$A113,'Holgura'!$E$6:$E$11,"Ambos")+SUMIFS('Entrega'!$I$6:$I$9,'Entrega'!$B$6:$B$9,$A113,'Entrega'!$E$6:$E$9,"Víctor")+SUMIFS('Entrega'!$I$6:$I$9,'Entrega'!$B$6:$B$9,$A113,'Entrega'!$E$6:$E$9,"Ambos")+SUMIFS('Defensa'!$I$6:$I$10,'Defensa'!$B$6:$B$10,$A113,'Defensa'!$E$6:$E$10,"Víctor")+SUMIFS('Defensa'!$I$6:$I$10,'Defensa'!$B$6:$B$10,$A113,'Defensa'!$E$6:$E$10,"Ambos")</f>
        <v/>
      </c>
      <c r="E113" s="21">
        <f>SUMIFS('S1'!$I$6:$I$32,'S1'!$B$6:$B$32,$A113,'S1'!$E$6:$E$32,"Diego")+SUMIFS('S1'!$I$6:$I$32,'S1'!$B$6:$B$32,$A113,'S1'!$E$6:$E$32,"Ambos")+SUMIFS('S2'!$I$6:$I$23,'S2'!$B$6:$B$23,$A113,'S2'!$E$6:$E$23,"Diego")+SUMIFS('S2'!$I$6:$I$23,'S2'!$B$6:$B$23,$A113,'S2'!$E$6:$E$23,"Ambos")+SUMIFS('S3'!$I$6:$I$24,'S3'!$B$6:$B$24,$A113,'S3'!$E$6:$E$24,"Diego")+SUMIFS('S3'!$I$6:$I$24,'S3'!$B$6:$B$24,$A113,'S3'!$E$6:$E$24,"Ambos")+SUMIFS('S4'!$I$6:$I$22,'S4'!$B$6:$B$22,$A113,'S4'!$E$6:$E$22,"Diego")+SUMIFS('S4'!$I$6:$I$22,'S4'!$B$6:$B$22,$A113,'S4'!$E$6:$E$22,"Ambos")+SUMIFS('S5'!$I$6:$I$20,'S5'!$B$6:$B$20,$A113,'S5'!$E$6:$E$20,"Diego")+SUMIFS('S5'!$I$6:$I$20,'S5'!$B$6:$B$20,$A113,'S5'!$E$6:$E$20,"Ambos")+SUMIFS('S6'!$I$6:$I$17,'S6'!$B$6:$B$17,$A113,'S6'!$E$6:$E$17,"Diego")+SUMIFS('S6'!$I$6:$I$17,'S6'!$B$6:$B$17,$A113,'S6'!$E$6:$E$17,"Ambos")+SUMIFS('S7'!$I$6:$I$19,'S7'!$B$6:$B$19,$A113,'S7'!$E$6:$E$19,"Diego")+SUMIFS('S7'!$I$6:$I$19,'S7'!$B$6:$B$19,$A113,'S7'!$E$6:$E$19,"Ambos")+SUMIFS('S8'!$I$6:$I$23,'S8'!$B$6:$B$23,$A113,'S8'!$E$6:$E$23,"Diego")+SUMIFS('S8'!$I$6:$I$23,'S8'!$B$6:$B$23,$A113,'S8'!$E$6:$E$23,"Ambos")+SUMIFS('S9'!$I$6:$I$15,'S9'!$B$6:$B$15,$A113,'S9'!$E$6:$E$15,"Diego")+SUMIFS('S9'!$I$6:$I$15,'S9'!$B$6:$B$15,$A113,'S9'!$E$6:$E$15,"Ambos")+SUMIFS('S10'!$I$6:$I$13,'S10'!$B$6:$B$13,$A113,'S10'!$E$6:$E$13,"Diego")+SUMIFS('S10'!$I$6:$I$13,'S10'!$B$6:$B$13,$A113,'S10'!$E$6:$E$13,"Ambos")+SUMIFS('Holgura'!$I$6:$I$11,'Holgura'!$B$6:$B$11,$A113,'Holgura'!$E$6:$E$11,"Diego")+SUMIFS('Holgura'!$I$6:$I$11,'Holgura'!$B$6:$B$11,$A113,'Holgura'!$E$6:$E$11,"Ambos")+SUMIFS('Entrega'!$I$6:$I$9,'Entrega'!$B$6:$B$9,$A113,'Entrega'!$E$6:$E$9,"Diego")+SUMIFS('Entrega'!$I$6:$I$9,'Entrega'!$B$6:$B$9,$A113,'Entrega'!$E$6:$E$9,"Ambos")+SUMIFS('Defensa'!$I$6:$I$10,'Defensa'!$B$6:$B$10,$A113,'Defensa'!$E$6:$E$10,"Diego")+SUMIFS('Defensa'!$I$6:$I$10,'Defensa'!$B$6:$B$10,$A113,'Defensa'!$E$6:$E$10,"Ambos")</f>
        <v/>
      </c>
      <c r="F113" s="21">
        <f>COUNTIFS('S1'!$B$6:$B$32,$A113,'S1'!$E$6:$E$32,"Víctor")+COUNTIFS('S1'!$B$6:$B$32,$A113,'S1'!$E$6:$E$32,"Ambos")+COUNTIFS('S2'!$B$6:$B$23,$A113,'S2'!$E$6:$E$23,"Víctor")+COUNTIFS('S2'!$B$6:$B$23,$A113,'S2'!$E$6:$E$23,"Ambos")+COUNTIFS('S3'!$B$6:$B$24,$A113,'S3'!$E$6:$E$24,"Víctor")+COUNTIFS('S3'!$B$6:$B$24,$A113,'S3'!$E$6:$E$24,"Ambos")+COUNTIFS('S4'!$B$6:$B$22,$A113,'S4'!$E$6:$E$22,"Víctor")+COUNTIFS('S4'!$B$6:$B$22,$A113,'S4'!$E$6:$E$22,"Ambos")+COUNTIFS('S5'!$B$6:$B$20,$A113,'S5'!$E$6:$E$20,"Víctor")+COUNTIFS('S5'!$B$6:$B$20,$A113,'S5'!$E$6:$E$20,"Ambos")+COUNTIFS('S6'!$B$6:$B$17,$A113,'S6'!$E$6:$E$17,"Víctor")+COUNTIFS('S6'!$B$6:$B$17,$A113,'S6'!$E$6:$E$17,"Ambos")+COUNTIFS('S7'!$B$6:$B$19,$A113,'S7'!$E$6:$E$19,"Víctor")+COUNTIFS('S7'!$B$6:$B$19,$A113,'S7'!$E$6:$E$19,"Ambos")+COUNTIFS('S8'!$B$6:$B$23,$A113,'S8'!$E$6:$E$23,"Víctor")+COUNTIFS('S8'!$B$6:$B$23,$A113,'S8'!$E$6:$E$23,"Ambos")+COUNTIFS('S9'!$B$6:$B$15,$A113,'S9'!$E$6:$E$15,"Víctor")+COUNTIFS('S9'!$B$6:$B$15,$A113,'S9'!$E$6:$E$15,"Ambos")+COUNTIFS('S10'!$B$6:$B$13,$A113,'S10'!$E$6:$E$13,"Víctor")+COUNTIFS('S10'!$B$6:$B$13,$A113,'S10'!$E$6:$E$13,"Ambos")+COUNTIFS('Holgura'!$B$6:$B$11,$A113,'Holgura'!$E$6:$E$11,"Víctor")+COUNTIFS('Holgura'!$B$6:$B$11,$A113,'Holgura'!$E$6:$E$11,"Ambos")+COUNTIFS('Entrega'!$B$6:$B$9,$A113,'Entrega'!$E$6:$E$9,"Víctor")+COUNTIFS('Entrega'!$B$6:$B$9,$A113,'Entrega'!$E$6:$E$9,"Ambos")+COUNTIFS('Defensa'!$B$6:$B$10,$A113,'Defensa'!$E$6:$E$10,"Víctor")+COUNTIFS('Defensa'!$B$6:$B$10,$A113,'Defensa'!$E$6:$E$10,"Ambos")</f>
        <v/>
      </c>
      <c r="G113" s="21">
        <f>COUNTIFS('S1'!$B$6:$B$32,$A113,'S1'!$E$6:$E$32,"Diego")+COUNTIFS('S1'!$B$6:$B$32,$A113,'S1'!$E$6:$E$32,"Ambos")+COUNTIFS('S2'!$B$6:$B$23,$A113,'S2'!$E$6:$E$23,"Diego")+COUNTIFS('S2'!$B$6:$B$23,$A113,'S2'!$E$6:$E$23,"Ambos")+COUNTIFS('S3'!$B$6:$B$24,$A113,'S3'!$E$6:$E$24,"Diego")+COUNTIFS('S3'!$B$6:$B$24,$A113,'S3'!$E$6:$E$24,"Ambos")+COUNTIFS('S4'!$B$6:$B$22,$A113,'S4'!$E$6:$E$22,"Diego")+COUNTIFS('S4'!$B$6:$B$22,$A113,'S4'!$E$6:$E$22,"Ambos")+COUNTIFS('S5'!$B$6:$B$20,$A113,'S5'!$E$6:$E$20,"Diego")+COUNTIFS('S5'!$B$6:$B$20,$A113,'S5'!$E$6:$E$20,"Ambos")+COUNTIFS('S6'!$B$6:$B$17,$A113,'S6'!$E$6:$E$17,"Diego")+COUNTIFS('S6'!$B$6:$B$17,$A113,'S6'!$E$6:$E$17,"Ambos")+COUNTIFS('S7'!$B$6:$B$19,$A113,'S7'!$E$6:$E$19,"Diego")+COUNTIFS('S7'!$B$6:$B$19,$A113,'S7'!$E$6:$E$19,"Ambos")+COUNTIFS('S8'!$B$6:$B$23,$A113,'S8'!$E$6:$E$23,"Diego")+COUNTIFS('S8'!$B$6:$B$23,$A113,'S8'!$E$6:$E$23,"Ambos")+COUNTIFS('S9'!$B$6:$B$15,$A113,'S9'!$E$6:$E$15,"Diego")+COUNTIFS('S9'!$B$6:$B$15,$A113,'S9'!$E$6:$E$15,"Ambos")+COUNTIFS('S10'!$B$6:$B$13,$A113,'S10'!$E$6:$E$13,"Diego")+COUNTIFS('S10'!$B$6:$B$13,$A113,'S10'!$E$6:$E$13,"Ambos")+COUNTIFS('Holgura'!$B$6:$B$11,$A113,'Holgura'!$E$6:$E$11,"Diego")+COUNTIFS('Holgura'!$B$6:$B$11,$A113,'Holgura'!$E$6:$E$11,"Ambos")+COUNTIFS('Entrega'!$B$6:$B$9,$A113,'Entrega'!$E$6:$E$9,"Diego")+COUNTIFS('Entrega'!$B$6:$B$9,$A113,'Entrega'!$E$6:$E$9,"Ambos")+COUNTIFS('Defensa'!$B$6:$B$10,$A113,'Defensa'!$E$6:$E$10,"Diego")+COUNTIFS('Defensa'!$B$6:$B$10,$A113,'Defensa'!$E$6:$E$10,"Ambos")</f>
        <v/>
      </c>
    </row>
    <row r="114">
      <c r="A114" s="25" t="n">
        <v>46416</v>
      </c>
      <c r="B114" s="26">
        <f>A114</f>
        <v/>
      </c>
      <c r="C114" s="21">
        <f>IF(WEEKDAY(A114,2)&gt;5,4,2)</f>
        <v/>
      </c>
      <c r="D114" s="21">
        <f>SUMIFS('S1'!$I$6:$I$32,'S1'!$B$6:$B$32,$A114,'S1'!$E$6:$E$32,"Víctor")+SUMIFS('S1'!$I$6:$I$32,'S1'!$B$6:$B$32,$A114,'S1'!$E$6:$E$32,"Ambos")+SUMIFS('S2'!$I$6:$I$23,'S2'!$B$6:$B$23,$A114,'S2'!$E$6:$E$23,"Víctor")+SUMIFS('S2'!$I$6:$I$23,'S2'!$B$6:$B$23,$A114,'S2'!$E$6:$E$23,"Ambos")+SUMIFS('S3'!$I$6:$I$24,'S3'!$B$6:$B$24,$A114,'S3'!$E$6:$E$24,"Víctor")+SUMIFS('S3'!$I$6:$I$24,'S3'!$B$6:$B$24,$A114,'S3'!$E$6:$E$24,"Ambos")+SUMIFS('S4'!$I$6:$I$22,'S4'!$B$6:$B$22,$A114,'S4'!$E$6:$E$22,"Víctor")+SUMIFS('S4'!$I$6:$I$22,'S4'!$B$6:$B$22,$A114,'S4'!$E$6:$E$22,"Ambos")+SUMIFS('S5'!$I$6:$I$20,'S5'!$B$6:$B$20,$A114,'S5'!$E$6:$E$20,"Víctor")+SUMIFS('S5'!$I$6:$I$20,'S5'!$B$6:$B$20,$A114,'S5'!$E$6:$E$20,"Ambos")+SUMIFS('S6'!$I$6:$I$17,'S6'!$B$6:$B$17,$A114,'S6'!$E$6:$E$17,"Víctor")+SUMIFS('S6'!$I$6:$I$17,'S6'!$B$6:$B$17,$A114,'S6'!$E$6:$E$17,"Ambos")+SUMIFS('S7'!$I$6:$I$19,'S7'!$B$6:$B$19,$A114,'S7'!$E$6:$E$19,"Víctor")+SUMIFS('S7'!$I$6:$I$19,'S7'!$B$6:$B$19,$A114,'S7'!$E$6:$E$19,"Ambos")+SUMIFS('S8'!$I$6:$I$23,'S8'!$B$6:$B$23,$A114,'S8'!$E$6:$E$23,"Víctor")+SUMIFS('S8'!$I$6:$I$23,'S8'!$B$6:$B$23,$A114,'S8'!$E$6:$E$23,"Ambos")+SUMIFS('S9'!$I$6:$I$15,'S9'!$B$6:$B$15,$A114,'S9'!$E$6:$E$15,"Víctor")+SUMIFS('S9'!$I$6:$I$15,'S9'!$B$6:$B$15,$A114,'S9'!$E$6:$E$15,"Ambos")+SUMIFS('S10'!$I$6:$I$13,'S10'!$B$6:$B$13,$A114,'S10'!$E$6:$E$13,"Víctor")+SUMIFS('S10'!$I$6:$I$13,'S10'!$B$6:$B$13,$A114,'S10'!$E$6:$E$13,"Ambos")+SUMIFS('Holgura'!$I$6:$I$11,'Holgura'!$B$6:$B$11,$A114,'Holgura'!$E$6:$E$11,"Víctor")+SUMIFS('Holgura'!$I$6:$I$11,'Holgura'!$B$6:$B$11,$A114,'Holgura'!$E$6:$E$11,"Ambos")+SUMIFS('Entrega'!$I$6:$I$9,'Entrega'!$B$6:$B$9,$A114,'Entrega'!$E$6:$E$9,"Víctor")+SUMIFS('Entrega'!$I$6:$I$9,'Entrega'!$B$6:$B$9,$A114,'Entrega'!$E$6:$E$9,"Ambos")+SUMIFS('Defensa'!$I$6:$I$10,'Defensa'!$B$6:$B$10,$A114,'Defensa'!$E$6:$E$10,"Víctor")+SUMIFS('Defensa'!$I$6:$I$10,'Defensa'!$B$6:$B$10,$A114,'Defensa'!$E$6:$E$10,"Ambos")</f>
        <v/>
      </c>
      <c r="E114" s="21">
        <f>SUMIFS('S1'!$I$6:$I$32,'S1'!$B$6:$B$32,$A114,'S1'!$E$6:$E$32,"Diego")+SUMIFS('S1'!$I$6:$I$32,'S1'!$B$6:$B$32,$A114,'S1'!$E$6:$E$32,"Ambos")+SUMIFS('S2'!$I$6:$I$23,'S2'!$B$6:$B$23,$A114,'S2'!$E$6:$E$23,"Diego")+SUMIFS('S2'!$I$6:$I$23,'S2'!$B$6:$B$23,$A114,'S2'!$E$6:$E$23,"Ambos")+SUMIFS('S3'!$I$6:$I$24,'S3'!$B$6:$B$24,$A114,'S3'!$E$6:$E$24,"Diego")+SUMIFS('S3'!$I$6:$I$24,'S3'!$B$6:$B$24,$A114,'S3'!$E$6:$E$24,"Ambos")+SUMIFS('S4'!$I$6:$I$22,'S4'!$B$6:$B$22,$A114,'S4'!$E$6:$E$22,"Diego")+SUMIFS('S4'!$I$6:$I$22,'S4'!$B$6:$B$22,$A114,'S4'!$E$6:$E$22,"Ambos")+SUMIFS('S5'!$I$6:$I$20,'S5'!$B$6:$B$20,$A114,'S5'!$E$6:$E$20,"Diego")+SUMIFS('S5'!$I$6:$I$20,'S5'!$B$6:$B$20,$A114,'S5'!$E$6:$E$20,"Ambos")+SUMIFS('S6'!$I$6:$I$17,'S6'!$B$6:$B$17,$A114,'S6'!$E$6:$E$17,"Diego")+SUMIFS('S6'!$I$6:$I$17,'S6'!$B$6:$B$17,$A114,'S6'!$E$6:$E$17,"Ambos")+SUMIFS('S7'!$I$6:$I$19,'S7'!$B$6:$B$19,$A114,'S7'!$E$6:$E$19,"Diego")+SUMIFS('S7'!$I$6:$I$19,'S7'!$B$6:$B$19,$A114,'S7'!$E$6:$E$19,"Ambos")+SUMIFS('S8'!$I$6:$I$23,'S8'!$B$6:$B$23,$A114,'S8'!$E$6:$E$23,"Diego")+SUMIFS('S8'!$I$6:$I$23,'S8'!$B$6:$B$23,$A114,'S8'!$E$6:$E$23,"Ambos")+SUMIFS('S9'!$I$6:$I$15,'S9'!$B$6:$B$15,$A114,'S9'!$E$6:$E$15,"Diego")+SUMIFS('S9'!$I$6:$I$15,'S9'!$B$6:$B$15,$A114,'S9'!$E$6:$E$15,"Ambos")+SUMIFS('S10'!$I$6:$I$13,'S10'!$B$6:$B$13,$A114,'S10'!$E$6:$E$13,"Diego")+SUMIFS('S10'!$I$6:$I$13,'S10'!$B$6:$B$13,$A114,'S10'!$E$6:$E$13,"Ambos")+SUMIFS('Holgura'!$I$6:$I$11,'Holgura'!$B$6:$B$11,$A114,'Holgura'!$E$6:$E$11,"Diego")+SUMIFS('Holgura'!$I$6:$I$11,'Holgura'!$B$6:$B$11,$A114,'Holgura'!$E$6:$E$11,"Ambos")+SUMIFS('Entrega'!$I$6:$I$9,'Entrega'!$B$6:$B$9,$A114,'Entrega'!$E$6:$E$9,"Diego")+SUMIFS('Entrega'!$I$6:$I$9,'Entrega'!$B$6:$B$9,$A114,'Entrega'!$E$6:$E$9,"Ambos")+SUMIFS('Defensa'!$I$6:$I$10,'Defensa'!$B$6:$B$10,$A114,'Defensa'!$E$6:$E$10,"Diego")+SUMIFS('Defensa'!$I$6:$I$10,'Defensa'!$B$6:$B$10,$A114,'Defensa'!$E$6:$E$10,"Ambos")</f>
        <v/>
      </c>
      <c r="F114" s="21">
        <f>COUNTIFS('S1'!$B$6:$B$32,$A114,'S1'!$E$6:$E$32,"Víctor")+COUNTIFS('S1'!$B$6:$B$32,$A114,'S1'!$E$6:$E$32,"Ambos")+COUNTIFS('S2'!$B$6:$B$23,$A114,'S2'!$E$6:$E$23,"Víctor")+COUNTIFS('S2'!$B$6:$B$23,$A114,'S2'!$E$6:$E$23,"Ambos")+COUNTIFS('S3'!$B$6:$B$24,$A114,'S3'!$E$6:$E$24,"Víctor")+COUNTIFS('S3'!$B$6:$B$24,$A114,'S3'!$E$6:$E$24,"Ambos")+COUNTIFS('S4'!$B$6:$B$22,$A114,'S4'!$E$6:$E$22,"Víctor")+COUNTIFS('S4'!$B$6:$B$22,$A114,'S4'!$E$6:$E$22,"Ambos")+COUNTIFS('S5'!$B$6:$B$20,$A114,'S5'!$E$6:$E$20,"Víctor")+COUNTIFS('S5'!$B$6:$B$20,$A114,'S5'!$E$6:$E$20,"Ambos")+COUNTIFS('S6'!$B$6:$B$17,$A114,'S6'!$E$6:$E$17,"Víctor")+COUNTIFS('S6'!$B$6:$B$17,$A114,'S6'!$E$6:$E$17,"Ambos")+COUNTIFS('S7'!$B$6:$B$19,$A114,'S7'!$E$6:$E$19,"Víctor")+COUNTIFS('S7'!$B$6:$B$19,$A114,'S7'!$E$6:$E$19,"Ambos")+COUNTIFS('S8'!$B$6:$B$23,$A114,'S8'!$E$6:$E$23,"Víctor")+COUNTIFS('S8'!$B$6:$B$23,$A114,'S8'!$E$6:$E$23,"Ambos")+COUNTIFS('S9'!$B$6:$B$15,$A114,'S9'!$E$6:$E$15,"Víctor")+COUNTIFS('S9'!$B$6:$B$15,$A114,'S9'!$E$6:$E$15,"Ambos")+COUNTIFS('S10'!$B$6:$B$13,$A114,'S10'!$E$6:$E$13,"Víctor")+COUNTIFS('S10'!$B$6:$B$13,$A114,'S10'!$E$6:$E$13,"Ambos")+COUNTIFS('Holgura'!$B$6:$B$11,$A114,'Holgura'!$E$6:$E$11,"Víctor")+COUNTIFS('Holgura'!$B$6:$B$11,$A114,'Holgura'!$E$6:$E$11,"Ambos")+COUNTIFS('Entrega'!$B$6:$B$9,$A114,'Entrega'!$E$6:$E$9,"Víctor")+COUNTIFS('Entrega'!$B$6:$B$9,$A114,'Entrega'!$E$6:$E$9,"Ambos")+COUNTIFS('Defensa'!$B$6:$B$10,$A114,'Defensa'!$E$6:$E$10,"Víctor")+COUNTIFS('Defensa'!$B$6:$B$10,$A114,'Defensa'!$E$6:$E$10,"Ambos")</f>
        <v/>
      </c>
      <c r="G114" s="21">
        <f>COUNTIFS('S1'!$B$6:$B$32,$A114,'S1'!$E$6:$E$32,"Diego")+COUNTIFS('S1'!$B$6:$B$32,$A114,'S1'!$E$6:$E$32,"Ambos")+COUNTIFS('S2'!$B$6:$B$23,$A114,'S2'!$E$6:$E$23,"Diego")+COUNTIFS('S2'!$B$6:$B$23,$A114,'S2'!$E$6:$E$23,"Ambos")+COUNTIFS('S3'!$B$6:$B$24,$A114,'S3'!$E$6:$E$24,"Diego")+COUNTIFS('S3'!$B$6:$B$24,$A114,'S3'!$E$6:$E$24,"Ambos")+COUNTIFS('S4'!$B$6:$B$22,$A114,'S4'!$E$6:$E$22,"Diego")+COUNTIFS('S4'!$B$6:$B$22,$A114,'S4'!$E$6:$E$22,"Ambos")+COUNTIFS('S5'!$B$6:$B$20,$A114,'S5'!$E$6:$E$20,"Diego")+COUNTIFS('S5'!$B$6:$B$20,$A114,'S5'!$E$6:$E$20,"Ambos")+COUNTIFS('S6'!$B$6:$B$17,$A114,'S6'!$E$6:$E$17,"Diego")+COUNTIFS('S6'!$B$6:$B$17,$A114,'S6'!$E$6:$E$17,"Ambos")+COUNTIFS('S7'!$B$6:$B$19,$A114,'S7'!$E$6:$E$19,"Diego")+COUNTIFS('S7'!$B$6:$B$19,$A114,'S7'!$E$6:$E$19,"Ambos")+COUNTIFS('S8'!$B$6:$B$23,$A114,'S8'!$E$6:$E$23,"Diego")+COUNTIFS('S8'!$B$6:$B$23,$A114,'S8'!$E$6:$E$23,"Ambos")+COUNTIFS('S9'!$B$6:$B$15,$A114,'S9'!$E$6:$E$15,"Diego")+COUNTIFS('S9'!$B$6:$B$15,$A114,'S9'!$E$6:$E$15,"Ambos")+COUNTIFS('S10'!$B$6:$B$13,$A114,'S10'!$E$6:$E$13,"Diego")+COUNTIFS('S10'!$B$6:$B$13,$A114,'S10'!$E$6:$E$13,"Ambos")+COUNTIFS('Holgura'!$B$6:$B$11,$A114,'Holgura'!$E$6:$E$11,"Diego")+COUNTIFS('Holgura'!$B$6:$B$11,$A114,'Holgura'!$E$6:$E$11,"Ambos")+COUNTIFS('Entrega'!$B$6:$B$9,$A114,'Entrega'!$E$6:$E$9,"Diego")+COUNTIFS('Entrega'!$B$6:$B$9,$A114,'Entrega'!$E$6:$E$9,"Ambos")+COUNTIFS('Defensa'!$B$6:$B$10,$A114,'Defensa'!$E$6:$E$10,"Diego")+COUNTIFS('Defensa'!$B$6:$B$10,$A114,'Defensa'!$E$6:$E$10,"Ambos")</f>
        <v/>
      </c>
    </row>
    <row r="115">
      <c r="A115" s="25" t="n">
        <v>46417</v>
      </c>
      <c r="B115" s="26">
        <f>A115</f>
        <v/>
      </c>
      <c r="C115" s="21">
        <f>IF(WEEKDAY(A115,2)&gt;5,4,2)</f>
        <v/>
      </c>
      <c r="D115" s="21">
        <f>SUMIFS('S1'!$I$6:$I$32,'S1'!$B$6:$B$32,$A115,'S1'!$E$6:$E$32,"Víctor")+SUMIFS('S1'!$I$6:$I$32,'S1'!$B$6:$B$32,$A115,'S1'!$E$6:$E$32,"Ambos")+SUMIFS('S2'!$I$6:$I$23,'S2'!$B$6:$B$23,$A115,'S2'!$E$6:$E$23,"Víctor")+SUMIFS('S2'!$I$6:$I$23,'S2'!$B$6:$B$23,$A115,'S2'!$E$6:$E$23,"Ambos")+SUMIFS('S3'!$I$6:$I$24,'S3'!$B$6:$B$24,$A115,'S3'!$E$6:$E$24,"Víctor")+SUMIFS('S3'!$I$6:$I$24,'S3'!$B$6:$B$24,$A115,'S3'!$E$6:$E$24,"Ambos")+SUMIFS('S4'!$I$6:$I$22,'S4'!$B$6:$B$22,$A115,'S4'!$E$6:$E$22,"Víctor")+SUMIFS('S4'!$I$6:$I$22,'S4'!$B$6:$B$22,$A115,'S4'!$E$6:$E$22,"Ambos")+SUMIFS('S5'!$I$6:$I$20,'S5'!$B$6:$B$20,$A115,'S5'!$E$6:$E$20,"Víctor")+SUMIFS('S5'!$I$6:$I$20,'S5'!$B$6:$B$20,$A115,'S5'!$E$6:$E$20,"Ambos")+SUMIFS('S6'!$I$6:$I$17,'S6'!$B$6:$B$17,$A115,'S6'!$E$6:$E$17,"Víctor")+SUMIFS('S6'!$I$6:$I$17,'S6'!$B$6:$B$17,$A115,'S6'!$E$6:$E$17,"Ambos")+SUMIFS('S7'!$I$6:$I$19,'S7'!$B$6:$B$19,$A115,'S7'!$E$6:$E$19,"Víctor")+SUMIFS('S7'!$I$6:$I$19,'S7'!$B$6:$B$19,$A115,'S7'!$E$6:$E$19,"Ambos")+SUMIFS('S8'!$I$6:$I$23,'S8'!$B$6:$B$23,$A115,'S8'!$E$6:$E$23,"Víctor")+SUMIFS('S8'!$I$6:$I$23,'S8'!$B$6:$B$23,$A115,'S8'!$E$6:$E$23,"Ambos")+SUMIFS('S9'!$I$6:$I$15,'S9'!$B$6:$B$15,$A115,'S9'!$E$6:$E$15,"Víctor")+SUMIFS('S9'!$I$6:$I$15,'S9'!$B$6:$B$15,$A115,'S9'!$E$6:$E$15,"Ambos")+SUMIFS('S10'!$I$6:$I$13,'S10'!$B$6:$B$13,$A115,'S10'!$E$6:$E$13,"Víctor")+SUMIFS('S10'!$I$6:$I$13,'S10'!$B$6:$B$13,$A115,'S10'!$E$6:$E$13,"Ambos")+SUMIFS('Holgura'!$I$6:$I$11,'Holgura'!$B$6:$B$11,$A115,'Holgura'!$E$6:$E$11,"Víctor")+SUMIFS('Holgura'!$I$6:$I$11,'Holgura'!$B$6:$B$11,$A115,'Holgura'!$E$6:$E$11,"Ambos")+SUMIFS('Entrega'!$I$6:$I$9,'Entrega'!$B$6:$B$9,$A115,'Entrega'!$E$6:$E$9,"Víctor")+SUMIFS('Entrega'!$I$6:$I$9,'Entrega'!$B$6:$B$9,$A115,'Entrega'!$E$6:$E$9,"Ambos")+SUMIFS('Defensa'!$I$6:$I$10,'Defensa'!$B$6:$B$10,$A115,'Defensa'!$E$6:$E$10,"Víctor")+SUMIFS('Defensa'!$I$6:$I$10,'Defensa'!$B$6:$B$10,$A115,'Defensa'!$E$6:$E$10,"Ambos")</f>
        <v/>
      </c>
      <c r="E115" s="21">
        <f>SUMIFS('S1'!$I$6:$I$32,'S1'!$B$6:$B$32,$A115,'S1'!$E$6:$E$32,"Diego")+SUMIFS('S1'!$I$6:$I$32,'S1'!$B$6:$B$32,$A115,'S1'!$E$6:$E$32,"Ambos")+SUMIFS('S2'!$I$6:$I$23,'S2'!$B$6:$B$23,$A115,'S2'!$E$6:$E$23,"Diego")+SUMIFS('S2'!$I$6:$I$23,'S2'!$B$6:$B$23,$A115,'S2'!$E$6:$E$23,"Ambos")+SUMIFS('S3'!$I$6:$I$24,'S3'!$B$6:$B$24,$A115,'S3'!$E$6:$E$24,"Diego")+SUMIFS('S3'!$I$6:$I$24,'S3'!$B$6:$B$24,$A115,'S3'!$E$6:$E$24,"Ambos")+SUMIFS('S4'!$I$6:$I$22,'S4'!$B$6:$B$22,$A115,'S4'!$E$6:$E$22,"Diego")+SUMIFS('S4'!$I$6:$I$22,'S4'!$B$6:$B$22,$A115,'S4'!$E$6:$E$22,"Ambos")+SUMIFS('S5'!$I$6:$I$20,'S5'!$B$6:$B$20,$A115,'S5'!$E$6:$E$20,"Diego")+SUMIFS('S5'!$I$6:$I$20,'S5'!$B$6:$B$20,$A115,'S5'!$E$6:$E$20,"Ambos")+SUMIFS('S6'!$I$6:$I$17,'S6'!$B$6:$B$17,$A115,'S6'!$E$6:$E$17,"Diego")+SUMIFS('S6'!$I$6:$I$17,'S6'!$B$6:$B$17,$A115,'S6'!$E$6:$E$17,"Ambos")+SUMIFS('S7'!$I$6:$I$19,'S7'!$B$6:$B$19,$A115,'S7'!$E$6:$E$19,"Diego")+SUMIFS('S7'!$I$6:$I$19,'S7'!$B$6:$B$19,$A115,'S7'!$E$6:$E$19,"Ambos")+SUMIFS('S8'!$I$6:$I$23,'S8'!$B$6:$B$23,$A115,'S8'!$E$6:$E$23,"Diego")+SUMIFS('S8'!$I$6:$I$23,'S8'!$B$6:$B$23,$A115,'S8'!$E$6:$E$23,"Ambos")+SUMIFS('S9'!$I$6:$I$15,'S9'!$B$6:$B$15,$A115,'S9'!$E$6:$E$15,"Diego")+SUMIFS('S9'!$I$6:$I$15,'S9'!$B$6:$B$15,$A115,'S9'!$E$6:$E$15,"Ambos")+SUMIFS('S10'!$I$6:$I$13,'S10'!$B$6:$B$13,$A115,'S10'!$E$6:$E$13,"Diego")+SUMIFS('S10'!$I$6:$I$13,'S10'!$B$6:$B$13,$A115,'S10'!$E$6:$E$13,"Ambos")+SUMIFS('Holgura'!$I$6:$I$11,'Holgura'!$B$6:$B$11,$A115,'Holgura'!$E$6:$E$11,"Diego")+SUMIFS('Holgura'!$I$6:$I$11,'Holgura'!$B$6:$B$11,$A115,'Holgura'!$E$6:$E$11,"Ambos")+SUMIFS('Entrega'!$I$6:$I$9,'Entrega'!$B$6:$B$9,$A115,'Entrega'!$E$6:$E$9,"Diego")+SUMIFS('Entrega'!$I$6:$I$9,'Entrega'!$B$6:$B$9,$A115,'Entrega'!$E$6:$E$9,"Ambos")+SUMIFS('Defensa'!$I$6:$I$10,'Defensa'!$B$6:$B$10,$A115,'Defensa'!$E$6:$E$10,"Diego")+SUMIFS('Defensa'!$I$6:$I$10,'Defensa'!$B$6:$B$10,$A115,'Defensa'!$E$6:$E$10,"Ambos")</f>
        <v/>
      </c>
      <c r="F115" s="21">
        <f>COUNTIFS('S1'!$B$6:$B$32,$A115,'S1'!$E$6:$E$32,"Víctor")+COUNTIFS('S1'!$B$6:$B$32,$A115,'S1'!$E$6:$E$32,"Ambos")+COUNTIFS('S2'!$B$6:$B$23,$A115,'S2'!$E$6:$E$23,"Víctor")+COUNTIFS('S2'!$B$6:$B$23,$A115,'S2'!$E$6:$E$23,"Ambos")+COUNTIFS('S3'!$B$6:$B$24,$A115,'S3'!$E$6:$E$24,"Víctor")+COUNTIFS('S3'!$B$6:$B$24,$A115,'S3'!$E$6:$E$24,"Ambos")+COUNTIFS('S4'!$B$6:$B$22,$A115,'S4'!$E$6:$E$22,"Víctor")+COUNTIFS('S4'!$B$6:$B$22,$A115,'S4'!$E$6:$E$22,"Ambos")+COUNTIFS('S5'!$B$6:$B$20,$A115,'S5'!$E$6:$E$20,"Víctor")+COUNTIFS('S5'!$B$6:$B$20,$A115,'S5'!$E$6:$E$20,"Ambos")+COUNTIFS('S6'!$B$6:$B$17,$A115,'S6'!$E$6:$E$17,"Víctor")+COUNTIFS('S6'!$B$6:$B$17,$A115,'S6'!$E$6:$E$17,"Ambos")+COUNTIFS('S7'!$B$6:$B$19,$A115,'S7'!$E$6:$E$19,"Víctor")+COUNTIFS('S7'!$B$6:$B$19,$A115,'S7'!$E$6:$E$19,"Ambos")+COUNTIFS('S8'!$B$6:$B$23,$A115,'S8'!$E$6:$E$23,"Víctor")+COUNTIFS('S8'!$B$6:$B$23,$A115,'S8'!$E$6:$E$23,"Ambos")+COUNTIFS('S9'!$B$6:$B$15,$A115,'S9'!$E$6:$E$15,"Víctor")+COUNTIFS('S9'!$B$6:$B$15,$A115,'S9'!$E$6:$E$15,"Ambos")+COUNTIFS('S10'!$B$6:$B$13,$A115,'S10'!$E$6:$E$13,"Víctor")+COUNTIFS('S10'!$B$6:$B$13,$A115,'S10'!$E$6:$E$13,"Ambos")+COUNTIFS('Holgura'!$B$6:$B$11,$A115,'Holgura'!$E$6:$E$11,"Víctor")+COUNTIFS('Holgura'!$B$6:$B$11,$A115,'Holgura'!$E$6:$E$11,"Ambos")+COUNTIFS('Entrega'!$B$6:$B$9,$A115,'Entrega'!$E$6:$E$9,"Víctor")+COUNTIFS('Entrega'!$B$6:$B$9,$A115,'Entrega'!$E$6:$E$9,"Ambos")+COUNTIFS('Defensa'!$B$6:$B$10,$A115,'Defensa'!$E$6:$E$10,"Víctor")+COUNTIFS('Defensa'!$B$6:$B$10,$A115,'Defensa'!$E$6:$E$10,"Ambos")</f>
        <v/>
      </c>
      <c r="G115" s="21">
        <f>COUNTIFS('S1'!$B$6:$B$32,$A115,'S1'!$E$6:$E$32,"Diego")+COUNTIFS('S1'!$B$6:$B$32,$A115,'S1'!$E$6:$E$32,"Ambos")+COUNTIFS('S2'!$B$6:$B$23,$A115,'S2'!$E$6:$E$23,"Diego")+COUNTIFS('S2'!$B$6:$B$23,$A115,'S2'!$E$6:$E$23,"Ambos")+COUNTIFS('S3'!$B$6:$B$24,$A115,'S3'!$E$6:$E$24,"Diego")+COUNTIFS('S3'!$B$6:$B$24,$A115,'S3'!$E$6:$E$24,"Ambos")+COUNTIFS('S4'!$B$6:$B$22,$A115,'S4'!$E$6:$E$22,"Diego")+COUNTIFS('S4'!$B$6:$B$22,$A115,'S4'!$E$6:$E$22,"Ambos")+COUNTIFS('S5'!$B$6:$B$20,$A115,'S5'!$E$6:$E$20,"Diego")+COUNTIFS('S5'!$B$6:$B$20,$A115,'S5'!$E$6:$E$20,"Ambos")+COUNTIFS('S6'!$B$6:$B$17,$A115,'S6'!$E$6:$E$17,"Diego")+COUNTIFS('S6'!$B$6:$B$17,$A115,'S6'!$E$6:$E$17,"Ambos")+COUNTIFS('S7'!$B$6:$B$19,$A115,'S7'!$E$6:$E$19,"Diego")+COUNTIFS('S7'!$B$6:$B$19,$A115,'S7'!$E$6:$E$19,"Ambos")+COUNTIFS('S8'!$B$6:$B$23,$A115,'S8'!$E$6:$E$23,"Diego")+COUNTIFS('S8'!$B$6:$B$23,$A115,'S8'!$E$6:$E$23,"Ambos")+COUNTIFS('S9'!$B$6:$B$15,$A115,'S9'!$E$6:$E$15,"Diego")+COUNTIFS('S9'!$B$6:$B$15,$A115,'S9'!$E$6:$E$15,"Ambos")+COUNTIFS('S10'!$B$6:$B$13,$A115,'S10'!$E$6:$E$13,"Diego")+COUNTIFS('S10'!$B$6:$B$13,$A115,'S10'!$E$6:$E$13,"Ambos")+COUNTIFS('Holgura'!$B$6:$B$11,$A115,'Holgura'!$E$6:$E$11,"Diego")+COUNTIFS('Holgura'!$B$6:$B$11,$A115,'Holgura'!$E$6:$E$11,"Ambos")+COUNTIFS('Entrega'!$B$6:$B$9,$A115,'Entrega'!$E$6:$E$9,"Diego")+COUNTIFS('Entrega'!$B$6:$B$9,$A115,'Entrega'!$E$6:$E$9,"Ambos")+COUNTIFS('Defensa'!$B$6:$B$10,$A115,'Defensa'!$E$6:$E$10,"Diego")+COUNTIFS('Defensa'!$B$6:$B$10,$A115,'Defensa'!$E$6:$E$10,"Ambos")</f>
        <v/>
      </c>
    </row>
    <row r="116">
      <c r="A116" s="25" t="n">
        <v>46418</v>
      </c>
      <c r="B116" s="26">
        <f>A116</f>
        <v/>
      </c>
      <c r="C116" s="21">
        <f>IF(WEEKDAY(A116,2)&gt;5,4,2)</f>
        <v/>
      </c>
      <c r="D116" s="21">
        <f>SUMIFS('S1'!$I$6:$I$32,'S1'!$B$6:$B$32,$A116,'S1'!$E$6:$E$32,"Víctor")+SUMIFS('S1'!$I$6:$I$32,'S1'!$B$6:$B$32,$A116,'S1'!$E$6:$E$32,"Ambos")+SUMIFS('S2'!$I$6:$I$23,'S2'!$B$6:$B$23,$A116,'S2'!$E$6:$E$23,"Víctor")+SUMIFS('S2'!$I$6:$I$23,'S2'!$B$6:$B$23,$A116,'S2'!$E$6:$E$23,"Ambos")+SUMIFS('S3'!$I$6:$I$24,'S3'!$B$6:$B$24,$A116,'S3'!$E$6:$E$24,"Víctor")+SUMIFS('S3'!$I$6:$I$24,'S3'!$B$6:$B$24,$A116,'S3'!$E$6:$E$24,"Ambos")+SUMIFS('S4'!$I$6:$I$22,'S4'!$B$6:$B$22,$A116,'S4'!$E$6:$E$22,"Víctor")+SUMIFS('S4'!$I$6:$I$22,'S4'!$B$6:$B$22,$A116,'S4'!$E$6:$E$22,"Ambos")+SUMIFS('S5'!$I$6:$I$20,'S5'!$B$6:$B$20,$A116,'S5'!$E$6:$E$20,"Víctor")+SUMIFS('S5'!$I$6:$I$20,'S5'!$B$6:$B$20,$A116,'S5'!$E$6:$E$20,"Ambos")+SUMIFS('S6'!$I$6:$I$17,'S6'!$B$6:$B$17,$A116,'S6'!$E$6:$E$17,"Víctor")+SUMIFS('S6'!$I$6:$I$17,'S6'!$B$6:$B$17,$A116,'S6'!$E$6:$E$17,"Ambos")+SUMIFS('S7'!$I$6:$I$19,'S7'!$B$6:$B$19,$A116,'S7'!$E$6:$E$19,"Víctor")+SUMIFS('S7'!$I$6:$I$19,'S7'!$B$6:$B$19,$A116,'S7'!$E$6:$E$19,"Ambos")+SUMIFS('S8'!$I$6:$I$23,'S8'!$B$6:$B$23,$A116,'S8'!$E$6:$E$23,"Víctor")+SUMIFS('S8'!$I$6:$I$23,'S8'!$B$6:$B$23,$A116,'S8'!$E$6:$E$23,"Ambos")+SUMIFS('S9'!$I$6:$I$15,'S9'!$B$6:$B$15,$A116,'S9'!$E$6:$E$15,"Víctor")+SUMIFS('S9'!$I$6:$I$15,'S9'!$B$6:$B$15,$A116,'S9'!$E$6:$E$15,"Ambos")+SUMIFS('S10'!$I$6:$I$13,'S10'!$B$6:$B$13,$A116,'S10'!$E$6:$E$13,"Víctor")+SUMIFS('S10'!$I$6:$I$13,'S10'!$B$6:$B$13,$A116,'S10'!$E$6:$E$13,"Ambos")+SUMIFS('Holgura'!$I$6:$I$11,'Holgura'!$B$6:$B$11,$A116,'Holgura'!$E$6:$E$11,"Víctor")+SUMIFS('Holgura'!$I$6:$I$11,'Holgura'!$B$6:$B$11,$A116,'Holgura'!$E$6:$E$11,"Ambos")+SUMIFS('Entrega'!$I$6:$I$9,'Entrega'!$B$6:$B$9,$A116,'Entrega'!$E$6:$E$9,"Víctor")+SUMIFS('Entrega'!$I$6:$I$9,'Entrega'!$B$6:$B$9,$A116,'Entrega'!$E$6:$E$9,"Ambos")+SUMIFS('Defensa'!$I$6:$I$10,'Defensa'!$B$6:$B$10,$A116,'Defensa'!$E$6:$E$10,"Víctor")+SUMIFS('Defensa'!$I$6:$I$10,'Defensa'!$B$6:$B$10,$A116,'Defensa'!$E$6:$E$10,"Ambos")</f>
        <v/>
      </c>
      <c r="E116" s="21">
        <f>SUMIFS('S1'!$I$6:$I$32,'S1'!$B$6:$B$32,$A116,'S1'!$E$6:$E$32,"Diego")+SUMIFS('S1'!$I$6:$I$32,'S1'!$B$6:$B$32,$A116,'S1'!$E$6:$E$32,"Ambos")+SUMIFS('S2'!$I$6:$I$23,'S2'!$B$6:$B$23,$A116,'S2'!$E$6:$E$23,"Diego")+SUMIFS('S2'!$I$6:$I$23,'S2'!$B$6:$B$23,$A116,'S2'!$E$6:$E$23,"Ambos")+SUMIFS('S3'!$I$6:$I$24,'S3'!$B$6:$B$24,$A116,'S3'!$E$6:$E$24,"Diego")+SUMIFS('S3'!$I$6:$I$24,'S3'!$B$6:$B$24,$A116,'S3'!$E$6:$E$24,"Ambos")+SUMIFS('S4'!$I$6:$I$22,'S4'!$B$6:$B$22,$A116,'S4'!$E$6:$E$22,"Diego")+SUMIFS('S4'!$I$6:$I$22,'S4'!$B$6:$B$22,$A116,'S4'!$E$6:$E$22,"Ambos")+SUMIFS('S5'!$I$6:$I$20,'S5'!$B$6:$B$20,$A116,'S5'!$E$6:$E$20,"Diego")+SUMIFS('S5'!$I$6:$I$20,'S5'!$B$6:$B$20,$A116,'S5'!$E$6:$E$20,"Ambos")+SUMIFS('S6'!$I$6:$I$17,'S6'!$B$6:$B$17,$A116,'S6'!$E$6:$E$17,"Diego")+SUMIFS('S6'!$I$6:$I$17,'S6'!$B$6:$B$17,$A116,'S6'!$E$6:$E$17,"Ambos")+SUMIFS('S7'!$I$6:$I$19,'S7'!$B$6:$B$19,$A116,'S7'!$E$6:$E$19,"Diego")+SUMIFS('S7'!$I$6:$I$19,'S7'!$B$6:$B$19,$A116,'S7'!$E$6:$E$19,"Ambos")+SUMIFS('S8'!$I$6:$I$23,'S8'!$B$6:$B$23,$A116,'S8'!$E$6:$E$23,"Diego")+SUMIFS('S8'!$I$6:$I$23,'S8'!$B$6:$B$23,$A116,'S8'!$E$6:$E$23,"Ambos")+SUMIFS('S9'!$I$6:$I$15,'S9'!$B$6:$B$15,$A116,'S9'!$E$6:$E$15,"Diego")+SUMIFS('S9'!$I$6:$I$15,'S9'!$B$6:$B$15,$A116,'S9'!$E$6:$E$15,"Ambos")+SUMIFS('S10'!$I$6:$I$13,'S10'!$B$6:$B$13,$A116,'S10'!$E$6:$E$13,"Diego")+SUMIFS('S10'!$I$6:$I$13,'S10'!$B$6:$B$13,$A116,'S10'!$E$6:$E$13,"Ambos")+SUMIFS('Holgura'!$I$6:$I$11,'Holgura'!$B$6:$B$11,$A116,'Holgura'!$E$6:$E$11,"Diego")+SUMIFS('Holgura'!$I$6:$I$11,'Holgura'!$B$6:$B$11,$A116,'Holgura'!$E$6:$E$11,"Ambos")+SUMIFS('Entrega'!$I$6:$I$9,'Entrega'!$B$6:$B$9,$A116,'Entrega'!$E$6:$E$9,"Diego")+SUMIFS('Entrega'!$I$6:$I$9,'Entrega'!$B$6:$B$9,$A116,'Entrega'!$E$6:$E$9,"Ambos")+SUMIFS('Defensa'!$I$6:$I$10,'Defensa'!$B$6:$B$10,$A116,'Defensa'!$E$6:$E$10,"Diego")+SUMIFS('Defensa'!$I$6:$I$10,'Defensa'!$B$6:$B$10,$A116,'Defensa'!$E$6:$E$10,"Ambos")</f>
        <v/>
      </c>
      <c r="F116" s="21">
        <f>COUNTIFS('S1'!$B$6:$B$32,$A116,'S1'!$E$6:$E$32,"Víctor")+COUNTIFS('S1'!$B$6:$B$32,$A116,'S1'!$E$6:$E$32,"Ambos")+COUNTIFS('S2'!$B$6:$B$23,$A116,'S2'!$E$6:$E$23,"Víctor")+COUNTIFS('S2'!$B$6:$B$23,$A116,'S2'!$E$6:$E$23,"Ambos")+COUNTIFS('S3'!$B$6:$B$24,$A116,'S3'!$E$6:$E$24,"Víctor")+COUNTIFS('S3'!$B$6:$B$24,$A116,'S3'!$E$6:$E$24,"Ambos")+COUNTIFS('S4'!$B$6:$B$22,$A116,'S4'!$E$6:$E$22,"Víctor")+COUNTIFS('S4'!$B$6:$B$22,$A116,'S4'!$E$6:$E$22,"Ambos")+COUNTIFS('S5'!$B$6:$B$20,$A116,'S5'!$E$6:$E$20,"Víctor")+COUNTIFS('S5'!$B$6:$B$20,$A116,'S5'!$E$6:$E$20,"Ambos")+COUNTIFS('S6'!$B$6:$B$17,$A116,'S6'!$E$6:$E$17,"Víctor")+COUNTIFS('S6'!$B$6:$B$17,$A116,'S6'!$E$6:$E$17,"Ambos")+COUNTIFS('S7'!$B$6:$B$19,$A116,'S7'!$E$6:$E$19,"Víctor")+COUNTIFS('S7'!$B$6:$B$19,$A116,'S7'!$E$6:$E$19,"Ambos")+COUNTIFS('S8'!$B$6:$B$23,$A116,'S8'!$E$6:$E$23,"Víctor")+COUNTIFS('S8'!$B$6:$B$23,$A116,'S8'!$E$6:$E$23,"Ambos")+COUNTIFS('S9'!$B$6:$B$15,$A116,'S9'!$E$6:$E$15,"Víctor")+COUNTIFS('S9'!$B$6:$B$15,$A116,'S9'!$E$6:$E$15,"Ambos")+COUNTIFS('S10'!$B$6:$B$13,$A116,'S10'!$E$6:$E$13,"Víctor")+COUNTIFS('S10'!$B$6:$B$13,$A116,'S10'!$E$6:$E$13,"Ambos")+COUNTIFS('Holgura'!$B$6:$B$11,$A116,'Holgura'!$E$6:$E$11,"Víctor")+COUNTIFS('Holgura'!$B$6:$B$11,$A116,'Holgura'!$E$6:$E$11,"Ambos")+COUNTIFS('Entrega'!$B$6:$B$9,$A116,'Entrega'!$E$6:$E$9,"Víctor")+COUNTIFS('Entrega'!$B$6:$B$9,$A116,'Entrega'!$E$6:$E$9,"Ambos")+COUNTIFS('Defensa'!$B$6:$B$10,$A116,'Defensa'!$E$6:$E$10,"Víctor")+COUNTIFS('Defensa'!$B$6:$B$10,$A116,'Defensa'!$E$6:$E$10,"Ambos")</f>
        <v/>
      </c>
      <c r="G116" s="21">
        <f>COUNTIFS('S1'!$B$6:$B$32,$A116,'S1'!$E$6:$E$32,"Diego")+COUNTIFS('S1'!$B$6:$B$32,$A116,'S1'!$E$6:$E$32,"Ambos")+COUNTIFS('S2'!$B$6:$B$23,$A116,'S2'!$E$6:$E$23,"Diego")+COUNTIFS('S2'!$B$6:$B$23,$A116,'S2'!$E$6:$E$23,"Ambos")+COUNTIFS('S3'!$B$6:$B$24,$A116,'S3'!$E$6:$E$24,"Diego")+COUNTIFS('S3'!$B$6:$B$24,$A116,'S3'!$E$6:$E$24,"Ambos")+COUNTIFS('S4'!$B$6:$B$22,$A116,'S4'!$E$6:$E$22,"Diego")+COUNTIFS('S4'!$B$6:$B$22,$A116,'S4'!$E$6:$E$22,"Ambos")+COUNTIFS('S5'!$B$6:$B$20,$A116,'S5'!$E$6:$E$20,"Diego")+COUNTIFS('S5'!$B$6:$B$20,$A116,'S5'!$E$6:$E$20,"Ambos")+COUNTIFS('S6'!$B$6:$B$17,$A116,'S6'!$E$6:$E$17,"Diego")+COUNTIFS('S6'!$B$6:$B$17,$A116,'S6'!$E$6:$E$17,"Ambos")+COUNTIFS('S7'!$B$6:$B$19,$A116,'S7'!$E$6:$E$19,"Diego")+COUNTIFS('S7'!$B$6:$B$19,$A116,'S7'!$E$6:$E$19,"Ambos")+COUNTIFS('S8'!$B$6:$B$23,$A116,'S8'!$E$6:$E$23,"Diego")+COUNTIFS('S8'!$B$6:$B$23,$A116,'S8'!$E$6:$E$23,"Ambos")+COUNTIFS('S9'!$B$6:$B$15,$A116,'S9'!$E$6:$E$15,"Diego")+COUNTIFS('S9'!$B$6:$B$15,$A116,'S9'!$E$6:$E$15,"Ambos")+COUNTIFS('S10'!$B$6:$B$13,$A116,'S10'!$E$6:$E$13,"Diego")+COUNTIFS('S10'!$B$6:$B$13,$A116,'S10'!$E$6:$E$13,"Ambos")+COUNTIFS('Holgura'!$B$6:$B$11,$A116,'Holgura'!$E$6:$E$11,"Diego")+COUNTIFS('Holgura'!$B$6:$B$11,$A116,'Holgura'!$E$6:$E$11,"Ambos")+COUNTIFS('Entrega'!$B$6:$B$9,$A116,'Entrega'!$E$6:$E$9,"Diego")+COUNTIFS('Entrega'!$B$6:$B$9,$A116,'Entrega'!$E$6:$E$9,"Ambos")+COUNTIFS('Defensa'!$B$6:$B$10,$A116,'Defensa'!$E$6:$E$10,"Diego")+COUNTIFS('Defensa'!$B$6:$B$10,$A116,'Defensa'!$E$6:$E$10,"Ambos")</f>
        <v/>
      </c>
    </row>
    <row r="117">
      <c r="A117" s="25" t="n">
        <v>46419</v>
      </c>
      <c r="B117" s="26">
        <f>A117</f>
        <v/>
      </c>
      <c r="C117" s="21">
        <f>IF(WEEKDAY(A117,2)&gt;5,4,2)</f>
        <v/>
      </c>
      <c r="D117" s="21">
        <f>SUMIFS('S1'!$I$6:$I$32,'S1'!$B$6:$B$32,$A117,'S1'!$E$6:$E$32,"Víctor")+SUMIFS('S1'!$I$6:$I$32,'S1'!$B$6:$B$32,$A117,'S1'!$E$6:$E$32,"Ambos")+SUMIFS('S2'!$I$6:$I$23,'S2'!$B$6:$B$23,$A117,'S2'!$E$6:$E$23,"Víctor")+SUMIFS('S2'!$I$6:$I$23,'S2'!$B$6:$B$23,$A117,'S2'!$E$6:$E$23,"Ambos")+SUMIFS('S3'!$I$6:$I$24,'S3'!$B$6:$B$24,$A117,'S3'!$E$6:$E$24,"Víctor")+SUMIFS('S3'!$I$6:$I$24,'S3'!$B$6:$B$24,$A117,'S3'!$E$6:$E$24,"Ambos")+SUMIFS('S4'!$I$6:$I$22,'S4'!$B$6:$B$22,$A117,'S4'!$E$6:$E$22,"Víctor")+SUMIFS('S4'!$I$6:$I$22,'S4'!$B$6:$B$22,$A117,'S4'!$E$6:$E$22,"Ambos")+SUMIFS('S5'!$I$6:$I$20,'S5'!$B$6:$B$20,$A117,'S5'!$E$6:$E$20,"Víctor")+SUMIFS('S5'!$I$6:$I$20,'S5'!$B$6:$B$20,$A117,'S5'!$E$6:$E$20,"Ambos")+SUMIFS('S6'!$I$6:$I$17,'S6'!$B$6:$B$17,$A117,'S6'!$E$6:$E$17,"Víctor")+SUMIFS('S6'!$I$6:$I$17,'S6'!$B$6:$B$17,$A117,'S6'!$E$6:$E$17,"Ambos")+SUMIFS('S7'!$I$6:$I$19,'S7'!$B$6:$B$19,$A117,'S7'!$E$6:$E$19,"Víctor")+SUMIFS('S7'!$I$6:$I$19,'S7'!$B$6:$B$19,$A117,'S7'!$E$6:$E$19,"Ambos")+SUMIFS('S8'!$I$6:$I$23,'S8'!$B$6:$B$23,$A117,'S8'!$E$6:$E$23,"Víctor")+SUMIFS('S8'!$I$6:$I$23,'S8'!$B$6:$B$23,$A117,'S8'!$E$6:$E$23,"Ambos")+SUMIFS('S9'!$I$6:$I$15,'S9'!$B$6:$B$15,$A117,'S9'!$E$6:$E$15,"Víctor")+SUMIFS('S9'!$I$6:$I$15,'S9'!$B$6:$B$15,$A117,'S9'!$E$6:$E$15,"Ambos")+SUMIFS('S10'!$I$6:$I$13,'S10'!$B$6:$B$13,$A117,'S10'!$E$6:$E$13,"Víctor")+SUMIFS('S10'!$I$6:$I$13,'S10'!$B$6:$B$13,$A117,'S10'!$E$6:$E$13,"Ambos")+SUMIFS('Holgura'!$I$6:$I$11,'Holgura'!$B$6:$B$11,$A117,'Holgura'!$E$6:$E$11,"Víctor")+SUMIFS('Holgura'!$I$6:$I$11,'Holgura'!$B$6:$B$11,$A117,'Holgura'!$E$6:$E$11,"Ambos")+SUMIFS('Entrega'!$I$6:$I$9,'Entrega'!$B$6:$B$9,$A117,'Entrega'!$E$6:$E$9,"Víctor")+SUMIFS('Entrega'!$I$6:$I$9,'Entrega'!$B$6:$B$9,$A117,'Entrega'!$E$6:$E$9,"Ambos")+SUMIFS('Defensa'!$I$6:$I$10,'Defensa'!$B$6:$B$10,$A117,'Defensa'!$E$6:$E$10,"Víctor")+SUMIFS('Defensa'!$I$6:$I$10,'Defensa'!$B$6:$B$10,$A117,'Defensa'!$E$6:$E$10,"Ambos")</f>
        <v/>
      </c>
      <c r="E117" s="21">
        <f>SUMIFS('S1'!$I$6:$I$32,'S1'!$B$6:$B$32,$A117,'S1'!$E$6:$E$32,"Diego")+SUMIFS('S1'!$I$6:$I$32,'S1'!$B$6:$B$32,$A117,'S1'!$E$6:$E$32,"Ambos")+SUMIFS('S2'!$I$6:$I$23,'S2'!$B$6:$B$23,$A117,'S2'!$E$6:$E$23,"Diego")+SUMIFS('S2'!$I$6:$I$23,'S2'!$B$6:$B$23,$A117,'S2'!$E$6:$E$23,"Ambos")+SUMIFS('S3'!$I$6:$I$24,'S3'!$B$6:$B$24,$A117,'S3'!$E$6:$E$24,"Diego")+SUMIFS('S3'!$I$6:$I$24,'S3'!$B$6:$B$24,$A117,'S3'!$E$6:$E$24,"Ambos")+SUMIFS('S4'!$I$6:$I$22,'S4'!$B$6:$B$22,$A117,'S4'!$E$6:$E$22,"Diego")+SUMIFS('S4'!$I$6:$I$22,'S4'!$B$6:$B$22,$A117,'S4'!$E$6:$E$22,"Ambos")+SUMIFS('S5'!$I$6:$I$20,'S5'!$B$6:$B$20,$A117,'S5'!$E$6:$E$20,"Diego")+SUMIFS('S5'!$I$6:$I$20,'S5'!$B$6:$B$20,$A117,'S5'!$E$6:$E$20,"Ambos")+SUMIFS('S6'!$I$6:$I$17,'S6'!$B$6:$B$17,$A117,'S6'!$E$6:$E$17,"Diego")+SUMIFS('S6'!$I$6:$I$17,'S6'!$B$6:$B$17,$A117,'S6'!$E$6:$E$17,"Ambos")+SUMIFS('S7'!$I$6:$I$19,'S7'!$B$6:$B$19,$A117,'S7'!$E$6:$E$19,"Diego")+SUMIFS('S7'!$I$6:$I$19,'S7'!$B$6:$B$19,$A117,'S7'!$E$6:$E$19,"Ambos")+SUMIFS('S8'!$I$6:$I$23,'S8'!$B$6:$B$23,$A117,'S8'!$E$6:$E$23,"Diego")+SUMIFS('S8'!$I$6:$I$23,'S8'!$B$6:$B$23,$A117,'S8'!$E$6:$E$23,"Ambos")+SUMIFS('S9'!$I$6:$I$15,'S9'!$B$6:$B$15,$A117,'S9'!$E$6:$E$15,"Diego")+SUMIFS('S9'!$I$6:$I$15,'S9'!$B$6:$B$15,$A117,'S9'!$E$6:$E$15,"Ambos")+SUMIFS('S10'!$I$6:$I$13,'S10'!$B$6:$B$13,$A117,'S10'!$E$6:$E$13,"Diego")+SUMIFS('S10'!$I$6:$I$13,'S10'!$B$6:$B$13,$A117,'S10'!$E$6:$E$13,"Ambos")+SUMIFS('Holgura'!$I$6:$I$11,'Holgura'!$B$6:$B$11,$A117,'Holgura'!$E$6:$E$11,"Diego")+SUMIFS('Holgura'!$I$6:$I$11,'Holgura'!$B$6:$B$11,$A117,'Holgura'!$E$6:$E$11,"Ambos")+SUMIFS('Entrega'!$I$6:$I$9,'Entrega'!$B$6:$B$9,$A117,'Entrega'!$E$6:$E$9,"Diego")+SUMIFS('Entrega'!$I$6:$I$9,'Entrega'!$B$6:$B$9,$A117,'Entrega'!$E$6:$E$9,"Ambos")+SUMIFS('Defensa'!$I$6:$I$10,'Defensa'!$B$6:$B$10,$A117,'Defensa'!$E$6:$E$10,"Diego")+SUMIFS('Defensa'!$I$6:$I$10,'Defensa'!$B$6:$B$10,$A117,'Defensa'!$E$6:$E$10,"Ambos")</f>
        <v/>
      </c>
      <c r="F117" s="21">
        <f>COUNTIFS('S1'!$B$6:$B$32,$A117,'S1'!$E$6:$E$32,"Víctor")+COUNTIFS('S1'!$B$6:$B$32,$A117,'S1'!$E$6:$E$32,"Ambos")+COUNTIFS('S2'!$B$6:$B$23,$A117,'S2'!$E$6:$E$23,"Víctor")+COUNTIFS('S2'!$B$6:$B$23,$A117,'S2'!$E$6:$E$23,"Ambos")+COUNTIFS('S3'!$B$6:$B$24,$A117,'S3'!$E$6:$E$24,"Víctor")+COUNTIFS('S3'!$B$6:$B$24,$A117,'S3'!$E$6:$E$24,"Ambos")+COUNTIFS('S4'!$B$6:$B$22,$A117,'S4'!$E$6:$E$22,"Víctor")+COUNTIFS('S4'!$B$6:$B$22,$A117,'S4'!$E$6:$E$22,"Ambos")+COUNTIFS('S5'!$B$6:$B$20,$A117,'S5'!$E$6:$E$20,"Víctor")+COUNTIFS('S5'!$B$6:$B$20,$A117,'S5'!$E$6:$E$20,"Ambos")+COUNTIFS('S6'!$B$6:$B$17,$A117,'S6'!$E$6:$E$17,"Víctor")+COUNTIFS('S6'!$B$6:$B$17,$A117,'S6'!$E$6:$E$17,"Ambos")+COUNTIFS('S7'!$B$6:$B$19,$A117,'S7'!$E$6:$E$19,"Víctor")+COUNTIFS('S7'!$B$6:$B$19,$A117,'S7'!$E$6:$E$19,"Ambos")+COUNTIFS('S8'!$B$6:$B$23,$A117,'S8'!$E$6:$E$23,"Víctor")+COUNTIFS('S8'!$B$6:$B$23,$A117,'S8'!$E$6:$E$23,"Ambos")+COUNTIFS('S9'!$B$6:$B$15,$A117,'S9'!$E$6:$E$15,"Víctor")+COUNTIFS('S9'!$B$6:$B$15,$A117,'S9'!$E$6:$E$15,"Ambos")+COUNTIFS('S10'!$B$6:$B$13,$A117,'S10'!$E$6:$E$13,"Víctor")+COUNTIFS('S10'!$B$6:$B$13,$A117,'S10'!$E$6:$E$13,"Ambos")+COUNTIFS('Holgura'!$B$6:$B$11,$A117,'Holgura'!$E$6:$E$11,"Víctor")+COUNTIFS('Holgura'!$B$6:$B$11,$A117,'Holgura'!$E$6:$E$11,"Ambos")+COUNTIFS('Entrega'!$B$6:$B$9,$A117,'Entrega'!$E$6:$E$9,"Víctor")+COUNTIFS('Entrega'!$B$6:$B$9,$A117,'Entrega'!$E$6:$E$9,"Ambos")+COUNTIFS('Defensa'!$B$6:$B$10,$A117,'Defensa'!$E$6:$E$10,"Víctor")+COUNTIFS('Defensa'!$B$6:$B$10,$A117,'Defensa'!$E$6:$E$10,"Ambos")</f>
        <v/>
      </c>
      <c r="G117" s="21">
        <f>COUNTIFS('S1'!$B$6:$B$32,$A117,'S1'!$E$6:$E$32,"Diego")+COUNTIFS('S1'!$B$6:$B$32,$A117,'S1'!$E$6:$E$32,"Ambos")+COUNTIFS('S2'!$B$6:$B$23,$A117,'S2'!$E$6:$E$23,"Diego")+COUNTIFS('S2'!$B$6:$B$23,$A117,'S2'!$E$6:$E$23,"Ambos")+COUNTIFS('S3'!$B$6:$B$24,$A117,'S3'!$E$6:$E$24,"Diego")+COUNTIFS('S3'!$B$6:$B$24,$A117,'S3'!$E$6:$E$24,"Ambos")+COUNTIFS('S4'!$B$6:$B$22,$A117,'S4'!$E$6:$E$22,"Diego")+COUNTIFS('S4'!$B$6:$B$22,$A117,'S4'!$E$6:$E$22,"Ambos")+COUNTIFS('S5'!$B$6:$B$20,$A117,'S5'!$E$6:$E$20,"Diego")+COUNTIFS('S5'!$B$6:$B$20,$A117,'S5'!$E$6:$E$20,"Ambos")+COUNTIFS('S6'!$B$6:$B$17,$A117,'S6'!$E$6:$E$17,"Diego")+COUNTIFS('S6'!$B$6:$B$17,$A117,'S6'!$E$6:$E$17,"Ambos")+COUNTIFS('S7'!$B$6:$B$19,$A117,'S7'!$E$6:$E$19,"Diego")+COUNTIFS('S7'!$B$6:$B$19,$A117,'S7'!$E$6:$E$19,"Ambos")+COUNTIFS('S8'!$B$6:$B$23,$A117,'S8'!$E$6:$E$23,"Diego")+COUNTIFS('S8'!$B$6:$B$23,$A117,'S8'!$E$6:$E$23,"Ambos")+COUNTIFS('S9'!$B$6:$B$15,$A117,'S9'!$E$6:$E$15,"Diego")+COUNTIFS('S9'!$B$6:$B$15,$A117,'S9'!$E$6:$E$15,"Ambos")+COUNTIFS('S10'!$B$6:$B$13,$A117,'S10'!$E$6:$E$13,"Diego")+COUNTIFS('S10'!$B$6:$B$13,$A117,'S10'!$E$6:$E$13,"Ambos")+COUNTIFS('Holgura'!$B$6:$B$11,$A117,'Holgura'!$E$6:$E$11,"Diego")+COUNTIFS('Holgura'!$B$6:$B$11,$A117,'Holgura'!$E$6:$E$11,"Ambos")+COUNTIFS('Entrega'!$B$6:$B$9,$A117,'Entrega'!$E$6:$E$9,"Diego")+COUNTIFS('Entrega'!$B$6:$B$9,$A117,'Entrega'!$E$6:$E$9,"Ambos")+COUNTIFS('Defensa'!$B$6:$B$10,$A117,'Defensa'!$E$6:$E$10,"Diego")+COUNTIFS('Defensa'!$B$6:$B$10,$A117,'Defensa'!$E$6:$E$10,"Ambos")</f>
        <v/>
      </c>
    </row>
    <row r="118">
      <c r="A118" s="25" t="n">
        <v>46420</v>
      </c>
      <c r="B118" s="26">
        <f>A118</f>
        <v/>
      </c>
      <c r="C118" s="21">
        <f>IF(WEEKDAY(A118,2)&gt;5,4,2)</f>
        <v/>
      </c>
      <c r="D118" s="21">
        <f>SUMIFS('S1'!$I$6:$I$32,'S1'!$B$6:$B$32,$A118,'S1'!$E$6:$E$32,"Víctor")+SUMIFS('S1'!$I$6:$I$32,'S1'!$B$6:$B$32,$A118,'S1'!$E$6:$E$32,"Ambos")+SUMIFS('S2'!$I$6:$I$23,'S2'!$B$6:$B$23,$A118,'S2'!$E$6:$E$23,"Víctor")+SUMIFS('S2'!$I$6:$I$23,'S2'!$B$6:$B$23,$A118,'S2'!$E$6:$E$23,"Ambos")+SUMIFS('S3'!$I$6:$I$24,'S3'!$B$6:$B$24,$A118,'S3'!$E$6:$E$24,"Víctor")+SUMIFS('S3'!$I$6:$I$24,'S3'!$B$6:$B$24,$A118,'S3'!$E$6:$E$24,"Ambos")+SUMIFS('S4'!$I$6:$I$22,'S4'!$B$6:$B$22,$A118,'S4'!$E$6:$E$22,"Víctor")+SUMIFS('S4'!$I$6:$I$22,'S4'!$B$6:$B$22,$A118,'S4'!$E$6:$E$22,"Ambos")+SUMIFS('S5'!$I$6:$I$20,'S5'!$B$6:$B$20,$A118,'S5'!$E$6:$E$20,"Víctor")+SUMIFS('S5'!$I$6:$I$20,'S5'!$B$6:$B$20,$A118,'S5'!$E$6:$E$20,"Ambos")+SUMIFS('S6'!$I$6:$I$17,'S6'!$B$6:$B$17,$A118,'S6'!$E$6:$E$17,"Víctor")+SUMIFS('S6'!$I$6:$I$17,'S6'!$B$6:$B$17,$A118,'S6'!$E$6:$E$17,"Ambos")+SUMIFS('S7'!$I$6:$I$19,'S7'!$B$6:$B$19,$A118,'S7'!$E$6:$E$19,"Víctor")+SUMIFS('S7'!$I$6:$I$19,'S7'!$B$6:$B$19,$A118,'S7'!$E$6:$E$19,"Ambos")+SUMIFS('S8'!$I$6:$I$23,'S8'!$B$6:$B$23,$A118,'S8'!$E$6:$E$23,"Víctor")+SUMIFS('S8'!$I$6:$I$23,'S8'!$B$6:$B$23,$A118,'S8'!$E$6:$E$23,"Ambos")+SUMIFS('S9'!$I$6:$I$15,'S9'!$B$6:$B$15,$A118,'S9'!$E$6:$E$15,"Víctor")+SUMIFS('S9'!$I$6:$I$15,'S9'!$B$6:$B$15,$A118,'S9'!$E$6:$E$15,"Ambos")+SUMIFS('S10'!$I$6:$I$13,'S10'!$B$6:$B$13,$A118,'S10'!$E$6:$E$13,"Víctor")+SUMIFS('S10'!$I$6:$I$13,'S10'!$B$6:$B$13,$A118,'S10'!$E$6:$E$13,"Ambos")+SUMIFS('Holgura'!$I$6:$I$11,'Holgura'!$B$6:$B$11,$A118,'Holgura'!$E$6:$E$11,"Víctor")+SUMIFS('Holgura'!$I$6:$I$11,'Holgura'!$B$6:$B$11,$A118,'Holgura'!$E$6:$E$11,"Ambos")+SUMIFS('Entrega'!$I$6:$I$9,'Entrega'!$B$6:$B$9,$A118,'Entrega'!$E$6:$E$9,"Víctor")+SUMIFS('Entrega'!$I$6:$I$9,'Entrega'!$B$6:$B$9,$A118,'Entrega'!$E$6:$E$9,"Ambos")+SUMIFS('Defensa'!$I$6:$I$10,'Defensa'!$B$6:$B$10,$A118,'Defensa'!$E$6:$E$10,"Víctor")+SUMIFS('Defensa'!$I$6:$I$10,'Defensa'!$B$6:$B$10,$A118,'Defensa'!$E$6:$E$10,"Ambos")</f>
        <v/>
      </c>
      <c r="E118" s="21">
        <f>SUMIFS('S1'!$I$6:$I$32,'S1'!$B$6:$B$32,$A118,'S1'!$E$6:$E$32,"Diego")+SUMIFS('S1'!$I$6:$I$32,'S1'!$B$6:$B$32,$A118,'S1'!$E$6:$E$32,"Ambos")+SUMIFS('S2'!$I$6:$I$23,'S2'!$B$6:$B$23,$A118,'S2'!$E$6:$E$23,"Diego")+SUMIFS('S2'!$I$6:$I$23,'S2'!$B$6:$B$23,$A118,'S2'!$E$6:$E$23,"Ambos")+SUMIFS('S3'!$I$6:$I$24,'S3'!$B$6:$B$24,$A118,'S3'!$E$6:$E$24,"Diego")+SUMIFS('S3'!$I$6:$I$24,'S3'!$B$6:$B$24,$A118,'S3'!$E$6:$E$24,"Ambos")+SUMIFS('S4'!$I$6:$I$22,'S4'!$B$6:$B$22,$A118,'S4'!$E$6:$E$22,"Diego")+SUMIFS('S4'!$I$6:$I$22,'S4'!$B$6:$B$22,$A118,'S4'!$E$6:$E$22,"Ambos")+SUMIFS('S5'!$I$6:$I$20,'S5'!$B$6:$B$20,$A118,'S5'!$E$6:$E$20,"Diego")+SUMIFS('S5'!$I$6:$I$20,'S5'!$B$6:$B$20,$A118,'S5'!$E$6:$E$20,"Ambos")+SUMIFS('S6'!$I$6:$I$17,'S6'!$B$6:$B$17,$A118,'S6'!$E$6:$E$17,"Diego")+SUMIFS('S6'!$I$6:$I$17,'S6'!$B$6:$B$17,$A118,'S6'!$E$6:$E$17,"Ambos")+SUMIFS('S7'!$I$6:$I$19,'S7'!$B$6:$B$19,$A118,'S7'!$E$6:$E$19,"Diego")+SUMIFS('S7'!$I$6:$I$19,'S7'!$B$6:$B$19,$A118,'S7'!$E$6:$E$19,"Ambos")+SUMIFS('S8'!$I$6:$I$23,'S8'!$B$6:$B$23,$A118,'S8'!$E$6:$E$23,"Diego")+SUMIFS('S8'!$I$6:$I$23,'S8'!$B$6:$B$23,$A118,'S8'!$E$6:$E$23,"Ambos")+SUMIFS('S9'!$I$6:$I$15,'S9'!$B$6:$B$15,$A118,'S9'!$E$6:$E$15,"Diego")+SUMIFS('S9'!$I$6:$I$15,'S9'!$B$6:$B$15,$A118,'S9'!$E$6:$E$15,"Ambos")+SUMIFS('S10'!$I$6:$I$13,'S10'!$B$6:$B$13,$A118,'S10'!$E$6:$E$13,"Diego")+SUMIFS('S10'!$I$6:$I$13,'S10'!$B$6:$B$13,$A118,'S10'!$E$6:$E$13,"Ambos")+SUMIFS('Holgura'!$I$6:$I$11,'Holgura'!$B$6:$B$11,$A118,'Holgura'!$E$6:$E$11,"Diego")+SUMIFS('Holgura'!$I$6:$I$11,'Holgura'!$B$6:$B$11,$A118,'Holgura'!$E$6:$E$11,"Ambos")+SUMIFS('Entrega'!$I$6:$I$9,'Entrega'!$B$6:$B$9,$A118,'Entrega'!$E$6:$E$9,"Diego")+SUMIFS('Entrega'!$I$6:$I$9,'Entrega'!$B$6:$B$9,$A118,'Entrega'!$E$6:$E$9,"Ambos")+SUMIFS('Defensa'!$I$6:$I$10,'Defensa'!$B$6:$B$10,$A118,'Defensa'!$E$6:$E$10,"Diego")+SUMIFS('Defensa'!$I$6:$I$10,'Defensa'!$B$6:$B$10,$A118,'Defensa'!$E$6:$E$10,"Ambos")</f>
        <v/>
      </c>
      <c r="F118" s="21">
        <f>COUNTIFS('S1'!$B$6:$B$32,$A118,'S1'!$E$6:$E$32,"Víctor")+COUNTIFS('S1'!$B$6:$B$32,$A118,'S1'!$E$6:$E$32,"Ambos")+COUNTIFS('S2'!$B$6:$B$23,$A118,'S2'!$E$6:$E$23,"Víctor")+COUNTIFS('S2'!$B$6:$B$23,$A118,'S2'!$E$6:$E$23,"Ambos")+COUNTIFS('S3'!$B$6:$B$24,$A118,'S3'!$E$6:$E$24,"Víctor")+COUNTIFS('S3'!$B$6:$B$24,$A118,'S3'!$E$6:$E$24,"Ambos")+COUNTIFS('S4'!$B$6:$B$22,$A118,'S4'!$E$6:$E$22,"Víctor")+COUNTIFS('S4'!$B$6:$B$22,$A118,'S4'!$E$6:$E$22,"Ambos")+COUNTIFS('S5'!$B$6:$B$20,$A118,'S5'!$E$6:$E$20,"Víctor")+COUNTIFS('S5'!$B$6:$B$20,$A118,'S5'!$E$6:$E$20,"Ambos")+COUNTIFS('S6'!$B$6:$B$17,$A118,'S6'!$E$6:$E$17,"Víctor")+COUNTIFS('S6'!$B$6:$B$17,$A118,'S6'!$E$6:$E$17,"Ambos")+COUNTIFS('S7'!$B$6:$B$19,$A118,'S7'!$E$6:$E$19,"Víctor")+COUNTIFS('S7'!$B$6:$B$19,$A118,'S7'!$E$6:$E$19,"Ambos")+COUNTIFS('S8'!$B$6:$B$23,$A118,'S8'!$E$6:$E$23,"Víctor")+COUNTIFS('S8'!$B$6:$B$23,$A118,'S8'!$E$6:$E$23,"Ambos")+COUNTIFS('S9'!$B$6:$B$15,$A118,'S9'!$E$6:$E$15,"Víctor")+COUNTIFS('S9'!$B$6:$B$15,$A118,'S9'!$E$6:$E$15,"Ambos")+COUNTIFS('S10'!$B$6:$B$13,$A118,'S10'!$E$6:$E$13,"Víctor")+COUNTIFS('S10'!$B$6:$B$13,$A118,'S10'!$E$6:$E$13,"Ambos")+COUNTIFS('Holgura'!$B$6:$B$11,$A118,'Holgura'!$E$6:$E$11,"Víctor")+COUNTIFS('Holgura'!$B$6:$B$11,$A118,'Holgura'!$E$6:$E$11,"Ambos")+COUNTIFS('Entrega'!$B$6:$B$9,$A118,'Entrega'!$E$6:$E$9,"Víctor")+COUNTIFS('Entrega'!$B$6:$B$9,$A118,'Entrega'!$E$6:$E$9,"Ambos")+COUNTIFS('Defensa'!$B$6:$B$10,$A118,'Defensa'!$E$6:$E$10,"Víctor")+COUNTIFS('Defensa'!$B$6:$B$10,$A118,'Defensa'!$E$6:$E$10,"Ambos")</f>
        <v/>
      </c>
      <c r="G118" s="21">
        <f>COUNTIFS('S1'!$B$6:$B$32,$A118,'S1'!$E$6:$E$32,"Diego")+COUNTIFS('S1'!$B$6:$B$32,$A118,'S1'!$E$6:$E$32,"Ambos")+COUNTIFS('S2'!$B$6:$B$23,$A118,'S2'!$E$6:$E$23,"Diego")+COUNTIFS('S2'!$B$6:$B$23,$A118,'S2'!$E$6:$E$23,"Ambos")+COUNTIFS('S3'!$B$6:$B$24,$A118,'S3'!$E$6:$E$24,"Diego")+COUNTIFS('S3'!$B$6:$B$24,$A118,'S3'!$E$6:$E$24,"Ambos")+COUNTIFS('S4'!$B$6:$B$22,$A118,'S4'!$E$6:$E$22,"Diego")+COUNTIFS('S4'!$B$6:$B$22,$A118,'S4'!$E$6:$E$22,"Ambos")+COUNTIFS('S5'!$B$6:$B$20,$A118,'S5'!$E$6:$E$20,"Diego")+COUNTIFS('S5'!$B$6:$B$20,$A118,'S5'!$E$6:$E$20,"Ambos")+COUNTIFS('S6'!$B$6:$B$17,$A118,'S6'!$E$6:$E$17,"Diego")+COUNTIFS('S6'!$B$6:$B$17,$A118,'S6'!$E$6:$E$17,"Ambos")+COUNTIFS('S7'!$B$6:$B$19,$A118,'S7'!$E$6:$E$19,"Diego")+COUNTIFS('S7'!$B$6:$B$19,$A118,'S7'!$E$6:$E$19,"Ambos")+COUNTIFS('S8'!$B$6:$B$23,$A118,'S8'!$E$6:$E$23,"Diego")+COUNTIFS('S8'!$B$6:$B$23,$A118,'S8'!$E$6:$E$23,"Ambos")+COUNTIFS('S9'!$B$6:$B$15,$A118,'S9'!$E$6:$E$15,"Diego")+COUNTIFS('S9'!$B$6:$B$15,$A118,'S9'!$E$6:$E$15,"Ambos")+COUNTIFS('S10'!$B$6:$B$13,$A118,'S10'!$E$6:$E$13,"Diego")+COUNTIFS('S10'!$B$6:$B$13,$A118,'S10'!$E$6:$E$13,"Ambos")+COUNTIFS('Holgura'!$B$6:$B$11,$A118,'Holgura'!$E$6:$E$11,"Diego")+COUNTIFS('Holgura'!$B$6:$B$11,$A118,'Holgura'!$E$6:$E$11,"Ambos")+COUNTIFS('Entrega'!$B$6:$B$9,$A118,'Entrega'!$E$6:$E$9,"Diego")+COUNTIFS('Entrega'!$B$6:$B$9,$A118,'Entrega'!$E$6:$E$9,"Ambos")+COUNTIFS('Defensa'!$B$6:$B$10,$A118,'Defensa'!$E$6:$E$10,"Diego")+COUNTIFS('Defensa'!$B$6:$B$10,$A118,'Defensa'!$E$6:$E$10,"Ambos")</f>
        <v/>
      </c>
    </row>
    <row r="119">
      <c r="A119" s="25" t="n">
        <v>46421</v>
      </c>
      <c r="B119" s="26">
        <f>A119</f>
        <v/>
      </c>
      <c r="C119" s="21">
        <f>IF(WEEKDAY(A119,2)&gt;5,4,2)</f>
        <v/>
      </c>
      <c r="D119" s="21">
        <f>SUMIFS('S1'!$I$6:$I$32,'S1'!$B$6:$B$32,$A119,'S1'!$E$6:$E$32,"Víctor")+SUMIFS('S1'!$I$6:$I$32,'S1'!$B$6:$B$32,$A119,'S1'!$E$6:$E$32,"Ambos")+SUMIFS('S2'!$I$6:$I$23,'S2'!$B$6:$B$23,$A119,'S2'!$E$6:$E$23,"Víctor")+SUMIFS('S2'!$I$6:$I$23,'S2'!$B$6:$B$23,$A119,'S2'!$E$6:$E$23,"Ambos")+SUMIFS('S3'!$I$6:$I$24,'S3'!$B$6:$B$24,$A119,'S3'!$E$6:$E$24,"Víctor")+SUMIFS('S3'!$I$6:$I$24,'S3'!$B$6:$B$24,$A119,'S3'!$E$6:$E$24,"Ambos")+SUMIFS('S4'!$I$6:$I$22,'S4'!$B$6:$B$22,$A119,'S4'!$E$6:$E$22,"Víctor")+SUMIFS('S4'!$I$6:$I$22,'S4'!$B$6:$B$22,$A119,'S4'!$E$6:$E$22,"Ambos")+SUMIFS('S5'!$I$6:$I$20,'S5'!$B$6:$B$20,$A119,'S5'!$E$6:$E$20,"Víctor")+SUMIFS('S5'!$I$6:$I$20,'S5'!$B$6:$B$20,$A119,'S5'!$E$6:$E$20,"Ambos")+SUMIFS('S6'!$I$6:$I$17,'S6'!$B$6:$B$17,$A119,'S6'!$E$6:$E$17,"Víctor")+SUMIFS('S6'!$I$6:$I$17,'S6'!$B$6:$B$17,$A119,'S6'!$E$6:$E$17,"Ambos")+SUMIFS('S7'!$I$6:$I$19,'S7'!$B$6:$B$19,$A119,'S7'!$E$6:$E$19,"Víctor")+SUMIFS('S7'!$I$6:$I$19,'S7'!$B$6:$B$19,$A119,'S7'!$E$6:$E$19,"Ambos")+SUMIFS('S8'!$I$6:$I$23,'S8'!$B$6:$B$23,$A119,'S8'!$E$6:$E$23,"Víctor")+SUMIFS('S8'!$I$6:$I$23,'S8'!$B$6:$B$23,$A119,'S8'!$E$6:$E$23,"Ambos")+SUMIFS('S9'!$I$6:$I$15,'S9'!$B$6:$B$15,$A119,'S9'!$E$6:$E$15,"Víctor")+SUMIFS('S9'!$I$6:$I$15,'S9'!$B$6:$B$15,$A119,'S9'!$E$6:$E$15,"Ambos")+SUMIFS('S10'!$I$6:$I$13,'S10'!$B$6:$B$13,$A119,'S10'!$E$6:$E$13,"Víctor")+SUMIFS('S10'!$I$6:$I$13,'S10'!$B$6:$B$13,$A119,'S10'!$E$6:$E$13,"Ambos")+SUMIFS('Holgura'!$I$6:$I$11,'Holgura'!$B$6:$B$11,$A119,'Holgura'!$E$6:$E$11,"Víctor")+SUMIFS('Holgura'!$I$6:$I$11,'Holgura'!$B$6:$B$11,$A119,'Holgura'!$E$6:$E$11,"Ambos")+SUMIFS('Entrega'!$I$6:$I$9,'Entrega'!$B$6:$B$9,$A119,'Entrega'!$E$6:$E$9,"Víctor")+SUMIFS('Entrega'!$I$6:$I$9,'Entrega'!$B$6:$B$9,$A119,'Entrega'!$E$6:$E$9,"Ambos")+SUMIFS('Defensa'!$I$6:$I$10,'Defensa'!$B$6:$B$10,$A119,'Defensa'!$E$6:$E$10,"Víctor")+SUMIFS('Defensa'!$I$6:$I$10,'Defensa'!$B$6:$B$10,$A119,'Defensa'!$E$6:$E$10,"Ambos")</f>
        <v/>
      </c>
      <c r="E119" s="21">
        <f>SUMIFS('S1'!$I$6:$I$32,'S1'!$B$6:$B$32,$A119,'S1'!$E$6:$E$32,"Diego")+SUMIFS('S1'!$I$6:$I$32,'S1'!$B$6:$B$32,$A119,'S1'!$E$6:$E$32,"Ambos")+SUMIFS('S2'!$I$6:$I$23,'S2'!$B$6:$B$23,$A119,'S2'!$E$6:$E$23,"Diego")+SUMIFS('S2'!$I$6:$I$23,'S2'!$B$6:$B$23,$A119,'S2'!$E$6:$E$23,"Ambos")+SUMIFS('S3'!$I$6:$I$24,'S3'!$B$6:$B$24,$A119,'S3'!$E$6:$E$24,"Diego")+SUMIFS('S3'!$I$6:$I$24,'S3'!$B$6:$B$24,$A119,'S3'!$E$6:$E$24,"Ambos")+SUMIFS('S4'!$I$6:$I$22,'S4'!$B$6:$B$22,$A119,'S4'!$E$6:$E$22,"Diego")+SUMIFS('S4'!$I$6:$I$22,'S4'!$B$6:$B$22,$A119,'S4'!$E$6:$E$22,"Ambos")+SUMIFS('S5'!$I$6:$I$20,'S5'!$B$6:$B$20,$A119,'S5'!$E$6:$E$20,"Diego")+SUMIFS('S5'!$I$6:$I$20,'S5'!$B$6:$B$20,$A119,'S5'!$E$6:$E$20,"Ambos")+SUMIFS('S6'!$I$6:$I$17,'S6'!$B$6:$B$17,$A119,'S6'!$E$6:$E$17,"Diego")+SUMIFS('S6'!$I$6:$I$17,'S6'!$B$6:$B$17,$A119,'S6'!$E$6:$E$17,"Ambos")+SUMIFS('S7'!$I$6:$I$19,'S7'!$B$6:$B$19,$A119,'S7'!$E$6:$E$19,"Diego")+SUMIFS('S7'!$I$6:$I$19,'S7'!$B$6:$B$19,$A119,'S7'!$E$6:$E$19,"Ambos")+SUMIFS('S8'!$I$6:$I$23,'S8'!$B$6:$B$23,$A119,'S8'!$E$6:$E$23,"Diego")+SUMIFS('S8'!$I$6:$I$23,'S8'!$B$6:$B$23,$A119,'S8'!$E$6:$E$23,"Ambos")+SUMIFS('S9'!$I$6:$I$15,'S9'!$B$6:$B$15,$A119,'S9'!$E$6:$E$15,"Diego")+SUMIFS('S9'!$I$6:$I$15,'S9'!$B$6:$B$15,$A119,'S9'!$E$6:$E$15,"Ambos")+SUMIFS('S10'!$I$6:$I$13,'S10'!$B$6:$B$13,$A119,'S10'!$E$6:$E$13,"Diego")+SUMIFS('S10'!$I$6:$I$13,'S10'!$B$6:$B$13,$A119,'S10'!$E$6:$E$13,"Ambos")+SUMIFS('Holgura'!$I$6:$I$11,'Holgura'!$B$6:$B$11,$A119,'Holgura'!$E$6:$E$11,"Diego")+SUMIFS('Holgura'!$I$6:$I$11,'Holgura'!$B$6:$B$11,$A119,'Holgura'!$E$6:$E$11,"Ambos")+SUMIFS('Entrega'!$I$6:$I$9,'Entrega'!$B$6:$B$9,$A119,'Entrega'!$E$6:$E$9,"Diego")+SUMIFS('Entrega'!$I$6:$I$9,'Entrega'!$B$6:$B$9,$A119,'Entrega'!$E$6:$E$9,"Ambos")+SUMIFS('Defensa'!$I$6:$I$10,'Defensa'!$B$6:$B$10,$A119,'Defensa'!$E$6:$E$10,"Diego")+SUMIFS('Defensa'!$I$6:$I$10,'Defensa'!$B$6:$B$10,$A119,'Defensa'!$E$6:$E$10,"Ambos")</f>
        <v/>
      </c>
      <c r="F119" s="21">
        <f>COUNTIFS('S1'!$B$6:$B$32,$A119,'S1'!$E$6:$E$32,"Víctor")+COUNTIFS('S1'!$B$6:$B$32,$A119,'S1'!$E$6:$E$32,"Ambos")+COUNTIFS('S2'!$B$6:$B$23,$A119,'S2'!$E$6:$E$23,"Víctor")+COUNTIFS('S2'!$B$6:$B$23,$A119,'S2'!$E$6:$E$23,"Ambos")+COUNTIFS('S3'!$B$6:$B$24,$A119,'S3'!$E$6:$E$24,"Víctor")+COUNTIFS('S3'!$B$6:$B$24,$A119,'S3'!$E$6:$E$24,"Ambos")+COUNTIFS('S4'!$B$6:$B$22,$A119,'S4'!$E$6:$E$22,"Víctor")+COUNTIFS('S4'!$B$6:$B$22,$A119,'S4'!$E$6:$E$22,"Ambos")+COUNTIFS('S5'!$B$6:$B$20,$A119,'S5'!$E$6:$E$20,"Víctor")+COUNTIFS('S5'!$B$6:$B$20,$A119,'S5'!$E$6:$E$20,"Ambos")+COUNTIFS('S6'!$B$6:$B$17,$A119,'S6'!$E$6:$E$17,"Víctor")+COUNTIFS('S6'!$B$6:$B$17,$A119,'S6'!$E$6:$E$17,"Ambos")+COUNTIFS('S7'!$B$6:$B$19,$A119,'S7'!$E$6:$E$19,"Víctor")+COUNTIFS('S7'!$B$6:$B$19,$A119,'S7'!$E$6:$E$19,"Ambos")+COUNTIFS('S8'!$B$6:$B$23,$A119,'S8'!$E$6:$E$23,"Víctor")+COUNTIFS('S8'!$B$6:$B$23,$A119,'S8'!$E$6:$E$23,"Ambos")+COUNTIFS('S9'!$B$6:$B$15,$A119,'S9'!$E$6:$E$15,"Víctor")+COUNTIFS('S9'!$B$6:$B$15,$A119,'S9'!$E$6:$E$15,"Ambos")+COUNTIFS('S10'!$B$6:$B$13,$A119,'S10'!$E$6:$E$13,"Víctor")+COUNTIFS('S10'!$B$6:$B$13,$A119,'S10'!$E$6:$E$13,"Ambos")+COUNTIFS('Holgura'!$B$6:$B$11,$A119,'Holgura'!$E$6:$E$11,"Víctor")+COUNTIFS('Holgura'!$B$6:$B$11,$A119,'Holgura'!$E$6:$E$11,"Ambos")+COUNTIFS('Entrega'!$B$6:$B$9,$A119,'Entrega'!$E$6:$E$9,"Víctor")+COUNTIFS('Entrega'!$B$6:$B$9,$A119,'Entrega'!$E$6:$E$9,"Ambos")+COUNTIFS('Defensa'!$B$6:$B$10,$A119,'Defensa'!$E$6:$E$10,"Víctor")+COUNTIFS('Defensa'!$B$6:$B$10,$A119,'Defensa'!$E$6:$E$10,"Ambos")</f>
        <v/>
      </c>
      <c r="G119" s="21">
        <f>COUNTIFS('S1'!$B$6:$B$32,$A119,'S1'!$E$6:$E$32,"Diego")+COUNTIFS('S1'!$B$6:$B$32,$A119,'S1'!$E$6:$E$32,"Ambos")+COUNTIFS('S2'!$B$6:$B$23,$A119,'S2'!$E$6:$E$23,"Diego")+COUNTIFS('S2'!$B$6:$B$23,$A119,'S2'!$E$6:$E$23,"Ambos")+COUNTIFS('S3'!$B$6:$B$24,$A119,'S3'!$E$6:$E$24,"Diego")+COUNTIFS('S3'!$B$6:$B$24,$A119,'S3'!$E$6:$E$24,"Ambos")+COUNTIFS('S4'!$B$6:$B$22,$A119,'S4'!$E$6:$E$22,"Diego")+COUNTIFS('S4'!$B$6:$B$22,$A119,'S4'!$E$6:$E$22,"Ambos")+COUNTIFS('S5'!$B$6:$B$20,$A119,'S5'!$E$6:$E$20,"Diego")+COUNTIFS('S5'!$B$6:$B$20,$A119,'S5'!$E$6:$E$20,"Ambos")+COUNTIFS('S6'!$B$6:$B$17,$A119,'S6'!$E$6:$E$17,"Diego")+COUNTIFS('S6'!$B$6:$B$17,$A119,'S6'!$E$6:$E$17,"Ambos")+COUNTIFS('S7'!$B$6:$B$19,$A119,'S7'!$E$6:$E$19,"Diego")+COUNTIFS('S7'!$B$6:$B$19,$A119,'S7'!$E$6:$E$19,"Ambos")+COUNTIFS('S8'!$B$6:$B$23,$A119,'S8'!$E$6:$E$23,"Diego")+COUNTIFS('S8'!$B$6:$B$23,$A119,'S8'!$E$6:$E$23,"Ambos")+COUNTIFS('S9'!$B$6:$B$15,$A119,'S9'!$E$6:$E$15,"Diego")+COUNTIFS('S9'!$B$6:$B$15,$A119,'S9'!$E$6:$E$15,"Ambos")+COUNTIFS('S10'!$B$6:$B$13,$A119,'S10'!$E$6:$E$13,"Diego")+COUNTIFS('S10'!$B$6:$B$13,$A119,'S10'!$E$6:$E$13,"Ambos")+COUNTIFS('Holgura'!$B$6:$B$11,$A119,'Holgura'!$E$6:$E$11,"Diego")+COUNTIFS('Holgura'!$B$6:$B$11,$A119,'Holgura'!$E$6:$E$11,"Ambos")+COUNTIFS('Entrega'!$B$6:$B$9,$A119,'Entrega'!$E$6:$E$9,"Diego")+COUNTIFS('Entrega'!$B$6:$B$9,$A119,'Entrega'!$E$6:$E$9,"Ambos")+COUNTIFS('Defensa'!$B$6:$B$10,$A119,'Defensa'!$E$6:$E$10,"Diego")+COUNTIFS('Defensa'!$B$6:$B$10,$A119,'Defensa'!$E$6:$E$10,"Ambos")</f>
        <v/>
      </c>
    </row>
    <row r="120">
      <c r="A120" s="25" t="n">
        <v>46422</v>
      </c>
      <c r="B120" s="26">
        <f>A120</f>
        <v/>
      </c>
      <c r="C120" s="21">
        <f>IF(WEEKDAY(A120,2)&gt;5,4,2)</f>
        <v/>
      </c>
      <c r="D120" s="21">
        <f>SUMIFS('S1'!$I$6:$I$32,'S1'!$B$6:$B$32,$A120,'S1'!$E$6:$E$32,"Víctor")+SUMIFS('S1'!$I$6:$I$32,'S1'!$B$6:$B$32,$A120,'S1'!$E$6:$E$32,"Ambos")+SUMIFS('S2'!$I$6:$I$23,'S2'!$B$6:$B$23,$A120,'S2'!$E$6:$E$23,"Víctor")+SUMIFS('S2'!$I$6:$I$23,'S2'!$B$6:$B$23,$A120,'S2'!$E$6:$E$23,"Ambos")+SUMIFS('S3'!$I$6:$I$24,'S3'!$B$6:$B$24,$A120,'S3'!$E$6:$E$24,"Víctor")+SUMIFS('S3'!$I$6:$I$24,'S3'!$B$6:$B$24,$A120,'S3'!$E$6:$E$24,"Ambos")+SUMIFS('S4'!$I$6:$I$22,'S4'!$B$6:$B$22,$A120,'S4'!$E$6:$E$22,"Víctor")+SUMIFS('S4'!$I$6:$I$22,'S4'!$B$6:$B$22,$A120,'S4'!$E$6:$E$22,"Ambos")+SUMIFS('S5'!$I$6:$I$20,'S5'!$B$6:$B$20,$A120,'S5'!$E$6:$E$20,"Víctor")+SUMIFS('S5'!$I$6:$I$20,'S5'!$B$6:$B$20,$A120,'S5'!$E$6:$E$20,"Ambos")+SUMIFS('S6'!$I$6:$I$17,'S6'!$B$6:$B$17,$A120,'S6'!$E$6:$E$17,"Víctor")+SUMIFS('S6'!$I$6:$I$17,'S6'!$B$6:$B$17,$A120,'S6'!$E$6:$E$17,"Ambos")+SUMIFS('S7'!$I$6:$I$19,'S7'!$B$6:$B$19,$A120,'S7'!$E$6:$E$19,"Víctor")+SUMIFS('S7'!$I$6:$I$19,'S7'!$B$6:$B$19,$A120,'S7'!$E$6:$E$19,"Ambos")+SUMIFS('S8'!$I$6:$I$23,'S8'!$B$6:$B$23,$A120,'S8'!$E$6:$E$23,"Víctor")+SUMIFS('S8'!$I$6:$I$23,'S8'!$B$6:$B$23,$A120,'S8'!$E$6:$E$23,"Ambos")+SUMIFS('S9'!$I$6:$I$15,'S9'!$B$6:$B$15,$A120,'S9'!$E$6:$E$15,"Víctor")+SUMIFS('S9'!$I$6:$I$15,'S9'!$B$6:$B$15,$A120,'S9'!$E$6:$E$15,"Ambos")+SUMIFS('S10'!$I$6:$I$13,'S10'!$B$6:$B$13,$A120,'S10'!$E$6:$E$13,"Víctor")+SUMIFS('S10'!$I$6:$I$13,'S10'!$B$6:$B$13,$A120,'S10'!$E$6:$E$13,"Ambos")+SUMIFS('Holgura'!$I$6:$I$11,'Holgura'!$B$6:$B$11,$A120,'Holgura'!$E$6:$E$11,"Víctor")+SUMIFS('Holgura'!$I$6:$I$11,'Holgura'!$B$6:$B$11,$A120,'Holgura'!$E$6:$E$11,"Ambos")+SUMIFS('Entrega'!$I$6:$I$9,'Entrega'!$B$6:$B$9,$A120,'Entrega'!$E$6:$E$9,"Víctor")+SUMIFS('Entrega'!$I$6:$I$9,'Entrega'!$B$6:$B$9,$A120,'Entrega'!$E$6:$E$9,"Ambos")+SUMIFS('Defensa'!$I$6:$I$10,'Defensa'!$B$6:$B$10,$A120,'Defensa'!$E$6:$E$10,"Víctor")+SUMIFS('Defensa'!$I$6:$I$10,'Defensa'!$B$6:$B$10,$A120,'Defensa'!$E$6:$E$10,"Ambos")</f>
        <v/>
      </c>
      <c r="E120" s="21">
        <f>SUMIFS('S1'!$I$6:$I$32,'S1'!$B$6:$B$32,$A120,'S1'!$E$6:$E$32,"Diego")+SUMIFS('S1'!$I$6:$I$32,'S1'!$B$6:$B$32,$A120,'S1'!$E$6:$E$32,"Ambos")+SUMIFS('S2'!$I$6:$I$23,'S2'!$B$6:$B$23,$A120,'S2'!$E$6:$E$23,"Diego")+SUMIFS('S2'!$I$6:$I$23,'S2'!$B$6:$B$23,$A120,'S2'!$E$6:$E$23,"Ambos")+SUMIFS('S3'!$I$6:$I$24,'S3'!$B$6:$B$24,$A120,'S3'!$E$6:$E$24,"Diego")+SUMIFS('S3'!$I$6:$I$24,'S3'!$B$6:$B$24,$A120,'S3'!$E$6:$E$24,"Ambos")+SUMIFS('S4'!$I$6:$I$22,'S4'!$B$6:$B$22,$A120,'S4'!$E$6:$E$22,"Diego")+SUMIFS('S4'!$I$6:$I$22,'S4'!$B$6:$B$22,$A120,'S4'!$E$6:$E$22,"Ambos")+SUMIFS('S5'!$I$6:$I$20,'S5'!$B$6:$B$20,$A120,'S5'!$E$6:$E$20,"Diego")+SUMIFS('S5'!$I$6:$I$20,'S5'!$B$6:$B$20,$A120,'S5'!$E$6:$E$20,"Ambos")+SUMIFS('S6'!$I$6:$I$17,'S6'!$B$6:$B$17,$A120,'S6'!$E$6:$E$17,"Diego")+SUMIFS('S6'!$I$6:$I$17,'S6'!$B$6:$B$17,$A120,'S6'!$E$6:$E$17,"Ambos")+SUMIFS('S7'!$I$6:$I$19,'S7'!$B$6:$B$19,$A120,'S7'!$E$6:$E$19,"Diego")+SUMIFS('S7'!$I$6:$I$19,'S7'!$B$6:$B$19,$A120,'S7'!$E$6:$E$19,"Ambos")+SUMIFS('S8'!$I$6:$I$23,'S8'!$B$6:$B$23,$A120,'S8'!$E$6:$E$23,"Diego")+SUMIFS('S8'!$I$6:$I$23,'S8'!$B$6:$B$23,$A120,'S8'!$E$6:$E$23,"Ambos")+SUMIFS('S9'!$I$6:$I$15,'S9'!$B$6:$B$15,$A120,'S9'!$E$6:$E$15,"Diego")+SUMIFS('S9'!$I$6:$I$15,'S9'!$B$6:$B$15,$A120,'S9'!$E$6:$E$15,"Ambos")+SUMIFS('S10'!$I$6:$I$13,'S10'!$B$6:$B$13,$A120,'S10'!$E$6:$E$13,"Diego")+SUMIFS('S10'!$I$6:$I$13,'S10'!$B$6:$B$13,$A120,'S10'!$E$6:$E$13,"Ambos")+SUMIFS('Holgura'!$I$6:$I$11,'Holgura'!$B$6:$B$11,$A120,'Holgura'!$E$6:$E$11,"Diego")+SUMIFS('Holgura'!$I$6:$I$11,'Holgura'!$B$6:$B$11,$A120,'Holgura'!$E$6:$E$11,"Ambos")+SUMIFS('Entrega'!$I$6:$I$9,'Entrega'!$B$6:$B$9,$A120,'Entrega'!$E$6:$E$9,"Diego")+SUMIFS('Entrega'!$I$6:$I$9,'Entrega'!$B$6:$B$9,$A120,'Entrega'!$E$6:$E$9,"Ambos")+SUMIFS('Defensa'!$I$6:$I$10,'Defensa'!$B$6:$B$10,$A120,'Defensa'!$E$6:$E$10,"Diego")+SUMIFS('Defensa'!$I$6:$I$10,'Defensa'!$B$6:$B$10,$A120,'Defensa'!$E$6:$E$10,"Ambos")</f>
        <v/>
      </c>
      <c r="F120" s="21">
        <f>COUNTIFS('S1'!$B$6:$B$32,$A120,'S1'!$E$6:$E$32,"Víctor")+COUNTIFS('S1'!$B$6:$B$32,$A120,'S1'!$E$6:$E$32,"Ambos")+COUNTIFS('S2'!$B$6:$B$23,$A120,'S2'!$E$6:$E$23,"Víctor")+COUNTIFS('S2'!$B$6:$B$23,$A120,'S2'!$E$6:$E$23,"Ambos")+COUNTIFS('S3'!$B$6:$B$24,$A120,'S3'!$E$6:$E$24,"Víctor")+COUNTIFS('S3'!$B$6:$B$24,$A120,'S3'!$E$6:$E$24,"Ambos")+COUNTIFS('S4'!$B$6:$B$22,$A120,'S4'!$E$6:$E$22,"Víctor")+COUNTIFS('S4'!$B$6:$B$22,$A120,'S4'!$E$6:$E$22,"Ambos")+COUNTIFS('S5'!$B$6:$B$20,$A120,'S5'!$E$6:$E$20,"Víctor")+COUNTIFS('S5'!$B$6:$B$20,$A120,'S5'!$E$6:$E$20,"Ambos")+COUNTIFS('S6'!$B$6:$B$17,$A120,'S6'!$E$6:$E$17,"Víctor")+COUNTIFS('S6'!$B$6:$B$17,$A120,'S6'!$E$6:$E$17,"Ambos")+COUNTIFS('S7'!$B$6:$B$19,$A120,'S7'!$E$6:$E$19,"Víctor")+COUNTIFS('S7'!$B$6:$B$19,$A120,'S7'!$E$6:$E$19,"Ambos")+COUNTIFS('S8'!$B$6:$B$23,$A120,'S8'!$E$6:$E$23,"Víctor")+COUNTIFS('S8'!$B$6:$B$23,$A120,'S8'!$E$6:$E$23,"Ambos")+COUNTIFS('S9'!$B$6:$B$15,$A120,'S9'!$E$6:$E$15,"Víctor")+COUNTIFS('S9'!$B$6:$B$15,$A120,'S9'!$E$6:$E$15,"Ambos")+COUNTIFS('S10'!$B$6:$B$13,$A120,'S10'!$E$6:$E$13,"Víctor")+COUNTIFS('S10'!$B$6:$B$13,$A120,'S10'!$E$6:$E$13,"Ambos")+COUNTIFS('Holgura'!$B$6:$B$11,$A120,'Holgura'!$E$6:$E$11,"Víctor")+COUNTIFS('Holgura'!$B$6:$B$11,$A120,'Holgura'!$E$6:$E$11,"Ambos")+COUNTIFS('Entrega'!$B$6:$B$9,$A120,'Entrega'!$E$6:$E$9,"Víctor")+COUNTIFS('Entrega'!$B$6:$B$9,$A120,'Entrega'!$E$6:$E$9,"Ambos")+COUNTIFS('Defensa'!$B$6:$B$10,$A120,'Defensa'!$E$6:$E$10,"Víctor")+COUNTIFS('Defensa'!$B$6:$B$10,$A120,'Defensa'!$E$6:$E$10,"Ambos")</f>
        <v/>
      </c>
      <c r="G120" s="21">
        <f>COUNTIFS('S1'!$B$6:$B$32,$A120,'S1'!$E$6:$E$32,"Diego")+COUNTIFS('S1'!$B$6:$B$32,$A120,'S1'!$E$6:$E$32,"Ambos")+COUNTIFS('S2'!$B$6:$B$23,$A120,'S2'!$E$6:$E$23,"Diego")+COUNTIFS('S2'!$B$6:$B$23,$A120,'S2'!$E$6:$E$23,"Ambos")+COUNTIFS('S3'!$B$6:$B$24,$A120,'S3'!$E$6:$E$24,"Diego")+COUNTIFS('S3'!$B$6:$B$24,$A120,'S3'!$E$6:$E$24,"Ambos")+COUNTIFS('S4'!$B$6:$B$22,$A120,'S4'!$E$6:$E$22,"Diego")+COUNTIFS('S4'!$B$6:$B$22,$A120,'S4'!$E$6:$E$22,"Ambos")+COUNTIFS('S5'!$B$6:$B$20,$A120,'S5'!$E$6:$E$20,"Diego")+COUNTIFS('S5'!$B$6:$B$20,$A120,'S5'!$E$6:$E$20,"Ambos")+COUNTIFS('S6'!$B$6:$B$17,$A120,'S6'!$E$6:$E$17,"Diego")+COUNTIFS('S6'!$B$6:$B$17,$A120,'S6'!$E$6:$E$17,"Ambos")+COUNTIFS('S7'!$B$6:$B$19,$A120,'S7'!$E$6:$E$19,"Diego")+COUNTIFS('S7'!$B$6:$B$19,$A120,'S7'!$E$6:$E$19,"Ambos")+COUNTIFS('S8'!$B$6:$B$23,$A120,'S8'!$E$6:$E$23,"Diego")+COUNTIFS('S8'!$B$6:$B$23,$A120,'S8'!$E$6:$E$23,"Ambos")+COUNTIFS('S9'!$B$6:$B$15,$A120,'S9'!$E$6:$E$15,"Diego")+COUNTIFS('S9'!$B$6:$B$15,$A120,'S9'!$E$6:$E$15,"Ambos")+COUNTIFS('S10'!$B$6:$B$13,$A120,'S10'!$E$6:$E$13,"Diego")+COUNTIFS('S10'!$B$6:$B$13,$A120,'S10'!$E$6:$E$13,"Ambos")+COUNTIFS('Holgura'!$B$6:$B$11,$A120,'Holgura'!$E$6:$E$11,"Diego")+COUNTIFS('Holgura'!$B$6:$B$11,$A120,'Holgura'!$E$6:$E$11,"Ambos")+COUNTIFS('Entrega'!$B$6:$B$9,$A120,'Entrega'!$E$6:$E$9,"Diego")+COUNTIFS('Entrega'!$B$6:$B$9,$A120,'Entrega'!$E$6:$E$9,"Ambos")+COUNTIFS('Defensa'!$B$6:$B$10,$A120,'Defensa'!$E$6:$E$10,"Diego")+COUNTIFS('Defensa'!$B$6:$B$10,$A120,'Defensa'!$E$6:$E$10,"Ambos")</f>
        <v/>
      </c>
    </row>
    <row r="121">
      <c r="A121" s="25" t="n">
        <v>46423</v>
      </c>
      <c r="B121" s="26">
        <f>A121</f>
        <v/>
      </c>
      <c r="C121" s="21">
        <f>IF(WEEKDAY(A121,2)&gt;5,4,2)</f>
        <v/>
      </c>
      <c r="D121" s="21">
        <f>SUMIFS('S1'!$I$6:$I$32,'S1'!$B$6:$B$32,$A121,'S1'!$E$6:$E$32,"Víctor")+SUMIFS('S1'!$I$6:$I$32,'S1'!$B$6:$B$32,$A121,'S1'!$E$6:$E$32,"Ambos")+SUMIFS('S2'!$I$6:$I$23,'S2'!$B$6:$B$23,$A121,'S2'!$E$6:$E$23,"Víctor")+SUMIFS('S2'!$I$6:$I$23,'S2'!$B$6:$B$23,$A121,'S2'!$E$6:$E$23,"Ambos")+SUMIFS('S3'!$I$6:$I$24,'S3'!$B$6:$B$24,$A121,'S3'!$E$6:$E$24,"Víctor")+SUMIFS('S3'!$I$6:$I$24,'S3'!$B$6:$B$24,$A121,'S3'!$E$6:$E$24,"Ambos")+SUMIFS('S4'!$I$6:$I$22,'S4'!$B$6:$B$22,$A121,'S4'!$E$6:$E$22,"Víctor")+SUMIFS('S4'!$I$6:$I$22,'S4'!$B$6:$B$22,$A121,'S4'!$E$6:$E$22,"Ambos")+SUMIFS('S5'!$I$6:$I$20,'S5'!$B$6:$B$20,$A121,'S5'!$E$6:$E$20,"Víctor")+SUMIFS('S5'!$I$6:$I$20,'S5'!$B$6:$B$20,$A121,'S5'!$E$6:$E$20,"Ambos")+SUMIFS('S6'!$I$6:$I$17,'S6'!$B$6:$B$17,$A121,'S6'!$E$6:$E$17,"Víctor")+SUMIFS('S6'!$I$6:$I$17,'S6'!$B$6:$B$17,$A121,'S6'!$E$6:$E$17,"Ambos")+SUMIFS('S7'!$I$6:$I$19,'S7'!$B$6:$B$19,$A121,'S7'!$E$6:$E$19,"Víctor")+SUMIFS('S7'!$I$6:$I$19,'S7'!$B$6:$B$19,$A121,'S7'!$E$6:$E$19,"Ambos")+SUMIFS('S8'!$I$6:$I$23,'S8'!$B$6:$B$23,$A121,'S8'!$E$6:$E$23,"Víctor")+SUMIFS('S8'!$I$6:$I$23,'S8'!$B$6:$B$23,$A121,'S8'!$E$6:$E$23,"Ambos")+SUMIFS('S9'!$I$6:$I$15,'S9'!$B$6:$B$15,$A121,'S9'!$E$6:$E$15,"Víctor")+SUMIFS('S9'!$I$6:$I$15,'S9'!$B$6:$B$15,$A121,'S9'!$E$6:$E$15,"Ambos")+SUMIFS('S10'!$I$6:$I$13,'S10'!$B$6:$B$13,$A121,'S10'!$E$6:$E$13,"Víctor")+SUMIFS('S10'!$I$6:$I$13,'S10'!$B$6:$B$13,$A121,'S10'!$E$6:$E$13,"Ambos")+SUMIFS('Holgura'!$I$6:$I$11,'Holgura'!$B$6:$B$11,$A121,'Holgura'!$E$6:$E$11,"Víctor")+SUMIFS('Holgura'!$I$6:$I$11,'Holgura'!$B$6:$B$11,$A121,'Holgura'!$E$6:$E$11,"Ambos")+SUMIFS('Entrega'!$I$6:$I$9,'Entrega'!$B$6:$B$9,$A121,'Entrega'!$E$6:$E$9,"Víctor")+SUMIFS('Entrega'!$I$6:$I$9,'Entrega'!$B$6:$B$9,$A121,'Entrega'!$E$6:$E$9,"Ambos")+SUMIFS('Defensa'!$I$6:$I$10,'Defensa'!$B$6:$B$10,$A121,'Defensa'!$E$6:$E$10,"Víctor")+SUMIFS('Defensa'!$I$6:$I$10,'Defensa'!$B$6:$B$10,$A121,'Defensa'!$E$6:$E$10,"Ambos")</f>
        <v/>
      </c>
      <c r="E121" s="21">
        <f>SUMIFS('S1'!$I$6:$I$32,'S1'!$B$6:$B$32,$A121,'S1'!$E$6:$E$32,"Diego")+SUMIFS('S1'!$I$6:$I$32,'S1'!$B$6:$B$32,$A121,'S1'!$E$6:$E$32,"Ambos")+SUMIFS('S2'!$I$6:$I$23,'S2'!$B$6:$B$23,$A121,'S2'!$E$6:$E$23,"Diego")+SUMIFS('S2'!$I$6:$I$23,'S2'!$B$6:$B$23,$A121,'S2'!$E$6:$E$23,"Ambos")+SUMIFS('S3'!$I$6:$I$24,'S3'!$B$6:$B$24,$A121,'S3'!$E$6:$E$24,"Diego")+SUMIFS('S3'!$I$6:$I$24,'S3'!$B$6:$B$24,$A121,'S3'!$E$6:$E$24,"Ambos")+SUMIFS('S4'!$I$6:$I$22,'S4'!$B$6:$B$22,$A121,'S4'!$E$6:$E$22,"Diego")+SUMIFS('S4'!$I$6:$I$22,'S4'!$B$6:$B$22,$A121,'S4'!$E$6:$E$22,"Ambos")+SUMIFS('S5'!$I$6:$I$20,'S5'!$B$6:$B$20,$A121,'S5'!$E$6:$E$20,"Diego")+SUMIFS('S5'!$I$6:$I$20,'S5'!$B$6:$B$20,$A121,'S5'!$E$6:$E$20,"Ambos")+SUMIFS('S6'!$I$6:$I$17,'S6'!$B$6:$B$17,$A121,'S6'!$E$6:$E$17,"Diego")+SUMIFS('S6'!$I$6:$I$17,'S6'!$B$6:$B$17,$A121,'S6'!$E$6:$E$17,"Ambos")+SUMIFS('S7'!$I$6:$I$19,'S7'!$B$6:$B$19,$A121,'S7'!$E$6:$E$19,"Diego")+SUMIFS('S7'!$I$6:$I$19,'S7'!$B$6:$B$19,$A121,'S7'!$E$6:$E$19,"Ambos")+SUMIFS('S8'!$I$6:$I$23,'S8'!$B$6:$B$23,$A121,'S8'!$E$6:$E$23,"Diego")+SUMIFS('S8'!$I$6:$I$23,'S8'!$B$6:$B$23,$A121,'S8'!$E$6:$E$23,"Ambos")+SUMIFS('S9'!$I$6:$I$15,'S9'!$B$6:$B$15,$A121,'S9'!$E$6:$E$15,"Diego")+SUMIFS('S9'!$I$6:$I$15,'S9'!$B$6:$B$15,$A121,'S9'!$E$6:$E$15,"Ambos")+SUMIFS('S10'!$I$6:$I$13,'S10'!$B$6:$B$13,$A121,'S10'!$E$6:$E$13,"Diego")+SUMIFS('S10'!$I$6:$I$13,'S10'!$B$6:$B$13,$A121,'S10'!$E$6:$E$13,"Ambos")+SUMIFS('Holgura'!$I$6:$I$11,'Holgura'!$B$6:$B$11,$A121,'Holgura'!$E$6:$E$11,"Diego")+SUMIFS('Holgura'!$I$6:$I$11,'Holgura'!$B$6:$B$11,$A121,'Holgura'!$E$6:$E$11,"Ambos")+SUMIFS('Entrega'!$I$6:$I$9,'Entrega'!$B$6:$B$9,$A121,'Entrega'!$E$6:$E$9,"Diego")+SUMIFS('Entrega'!$I$6:$I$9,'Entrega'!$B$6:$B$9,$A121,'Entrega'!$E$6:$E$9,"Ambos")+SUMIFS('Defensa'!$I$6:$I$10,'Defensa'!$B$6:$B$10,$A121,'Defensa'!$E$6:$E$10,"Diego")+SUMIFS('Defensa'!$I$6:$I$10,'Defensa'!$B$6:$B$10,$A121,'Defensa'!$E$6:$E$10,"Ambos")</f>
        <v/>
      </c>
      <c r="F121" s="21">
        <f>COUNTIFS('S1'!$B$6:$B$32,$A121,'S1'!$E$6:$E$32,"Víctor")+COUNTIFS('S1'!$B$6:$B$32,$A121,'S1'!$E$6:$E$32,"Ambos")+COUNTIFS('S2'!$B$6:$B$23,$A121,'S2'!$E$6:$E$23,"Víctor")+COUNTIFS('S2'!$B$6:$B$23,$A121,'S2'!$E$6:$E$23,"Ambos")+COUNTIFS('S3'!$B$6:$B$24,$A121,'S3'!$E$6:$E$24,"Víctor")+COUNTIFS('S3'!$B$6:$B$24,$A121,'S3'!$E$6:$E$24,"Ambos")+COUNTIFS('S4'!$B$6:$B$22,$A121,'S4'!$E$6:$E$22,"Víctor")+COUNTIFS('S4'!$B$6:$B$22,$A121,'S4'!$E$6:$E$22,"Ambos")+COUNTIFS('S5'!$B$6:$B$20,$A121,'S5'!$E$6:$E$20,"Víctor")+COUNTIFS('S5'!$B$6:$B$20,$A121,'S5'!$E$6:$E$20,"Ambos")+COUNTIFS('S6'!$B$6:$B$17,$A121,'S6'!$E$6:$E$17,"Víctor")+COUNTIFS('S6'!$B$6:$B$17,$A121,'S6'!$E$6:$E$17,"Ambos")+COUNTIFS('S7'!$B$6:$B$19,$A121,'S7'!$E$6:$E$19,"Víctor")+COUNTIFS('S7'!$B$6:$B$19,$A121,'S7'!$E$6:$E$19,"Ambos")+COUNTIFS('S8'!$B$6:$B$23,$A121,'S8'!$E$6:$E$23,"Víctor")+COUNTIFS('S8'!$B$6:$B$23,$A121,'S8'!$E$6:$E$23,"Ambos")+COUNTIFS('S9'!$B$6:$B$15,$A121,'S9'!$E$6:$E$15,"Víctor")+COUNTIFS('S9'!$B$6:$B$15,$A121,'S9'!$E$6:$E$15,"Ambos")+COUNTIFS('S10'!$B$6:$B$13,$A121,'S10'!$E$6:$E$13,"Víctor")+COUNTIFS('S10'!$B$6:$B$13,$A121,'S10'!$E$6:$E$13,"Ambos")+COUNTIFS('Holgura'!$B$6:$B$11,$A121,'Holgura'!$E$6:$E$11,"Víctor")+COUNTIFS('Holgura'!$B$6:$B$11,$A121,'Holgura'!$E$6:$E$11,"Ambos")+COUNTIFS('Entrega'!$B$6:$B$9,$A121,'Entrega'!$E$6:$E$9,"Víctor")+COUNTIFS('Entrega'!$B$6:$B$9,$A121,'Entrega'!$E$6:$E$9,"Ambos")+COUNTIFS('Defensa'!$B$6:$B$10,$A121,'Defensa'!$E$6:$E$10,"Víctor")+COUNTIFS('Defensa'!$B$6:$B$10,$A121,'Defensa'!$E$6:$E$10,"Ambos")</f>
        <v/>
      </c>
      <c r="G121" s="21">
        <f>COUNTIFS('S1'!$B$6:$B$32,$A121,'S1'!$E$6:$E$32,"Diego")+COUNTIFS('S1'!$B$6:$B$32,$A121,'S1'!$E$6:$E$32,"Ambos")+COUNTIFS('S2'!$B$6:$B$23,$A121,'S2'!$E$6:$E$23,"Diego")+COUNTIFS('S2'!$B$6:$B$23,$A121,'S2'!$E$6:$E$23,"Ambos")+COUNTIFS('S3'!$B$6:$B$24,$A121,'S3'!$E$6:$E$24,"Diego")+COUNTIFS('S3'!$B$6:$B$24,$A121,'S3'!$E$6:$E$24,"Ambos")+COUNTIFS('S4'!$B$6:$B$22,$A121,'S4'!$E$6:$E$22,"Diego")+COUNTIFS('S4'!$B$6:$B$22,$A121,'S4'!$E$6:$E$22,"Ambos")+COUNTIFS('S5'!$B$6:$B$20,$A121,'S5'!$E$6:$E$20,"Diego")+COUNTIFS('S5'!$B$6:$B$20,$A121,'S5'!$E$6:$E$20,"Ambos")+COUNTIFS('S6'!$B$6:$B$17,$A121,'S6'!$E$6:$E$17,"Diego")+COUNTIFS('S6'!$B$6:$B$17,$A121,'S6'!$E$6:$E$17,"Ambos")+COUNTIFS('S7'!$B$6:$B$19,$A121,'S7'!$E$6:$E$19,"Diego")+COUNTIFS('S7'!$B$6:$B$19,$A121,'S7'!$E$6:$E$19,"Ambos")+COUNTIFS('S8'!$B$6:$B$23,$A121,'S8'!$E$6:$E$23,"Diego")+COUNTIFS('S8'!$B$6:$B$23,$A121,'S8'!$E$6:$E$23,"Ambos")+COUNTIFS('S9'!$B$6:$B$15,$A121,'S9'!$E$6:$E$15,"Diego")+COUNTIFS('S9'!$B$6:$B$15,$A121,'S9'!$E$6:$E$15,"Ambos")+COUNTIFS('S10'!$B$6:$B$13,$A121,'S10'!$E$6:$E$13,"Diego")+COUNTIFS('S10'!$B$6:$B$13,$A121,'S10'!$E$6:$E$13,"Ambos")+COUNTIFS('Holgura'!$B$6:$B$11,$A121,'Holgura'!$E$6:$E$11,"Diego")+COUNTIFS('Holgura'!$B$6:$B$11,$A121,'Holgura'!$E$6:$E$11,"Ambos")+COUNTIFS('Entrega'!$B$6:$B$9,$A121,'Entrega'!$E$6:$E$9,"Diego")+COUNTIFS('Entrega'!$B$6:$B$9,$A121,'Entrega'!$E$6:$E$9,"Ambos")+COUNTIFS('Defensa'!$B$6:$B$10,$A121,'Defensa'!$E$6:$E$10,"Diego")+COUNTIFS('Defensa'!$B$6:$B$10,$A121,'Defensa'!$E$6:$E$10,"Ambos")</f>
        <v/>
      </c>
    </row>
    <row r="122">
      <c r="A122" s="25" t="n">
        <v>46424</v>
      </c>
      <c r="B122" s="26">
        <f>A122</f>
        <v/>
      </c>
      <c r="C122" s="21">
        <f>IF(WEEKDAY(A122,2)&gt;5,4,2)</f>
        <v/>
      </c>
      <c r="D122" s="21">
        <f>SUMIFS('S1'!$I$6:$I$32,'S1'!$B$6:$B$32,$A122,'S1'!$E$6:$E$32,"Víctor")+SUMIFS('S1'!$I$6:$I$32,'S1'!$B$6:$B$32,$A122,'S1'!$E$6:$E$32,"Ambos")+SUMIFS('S2'!$I$6:$I$23,'S2'!$B$6:$B$23,$A122,'S2'!$E$6:$E$23,"Víctor")+SUMIFS('S2'!$I$6:$I$23,'S2'!$B$6:$B$23,$A122,'S2'!$E$6:$E$23,"Ambos")+SUMIFS('S3'!$I$6:$I$24,'S3'!$B$6:$B$24,$A122,'S3'!$E$6:$E$24,"Víctor")+SUMIFS('S3'!$I$6:$I$24,'S3'!$B$6:$B$24,$A122,'S3'!$E$6:$E$24,"Ambos")+SUMIFS('S4'!$I$6:$I$22,'S4'!$B$6:$B$22,$A122,'S4'!$E$6:$E$22,"Víctor")+SUMIFS('S4'!$I$6:$I$22,'S4'!$B$6:$B$22,$A122,'S4'!$E$6:$E$22,"Ambos")+SUMIFS('S5'!$I$6:$I$20,'S5'!$B$6:$B$20,$A122,'S5'!$E$6:$E$20,"Víctor")+SUMIFS('S5'!$I$6:$I$20,'S5'!$B$6:$B$20,$A122,'S5'!$E$6:$E$20,"Ambos")+SUMIFS('S6'!$I$6:$I$17,'S6'!$B$6:$B$17,$A122,'S6'!$E$6:$E$17,"Víctor")+SUMIFS('S6'!$I$6:$I$17,'S6'!$B$6:$B$17,$A122,'S6'!$E$6:$E$17,"Ambos")+SUMIFS('S7'!$I$6:$I$19,'S7'!$B$6:$B$19,$A122,'S7'!$E$6:$E$19,"Víctor")+SUMIFS('S7'!$I$6:$I$19,'S7'!$B$6:$B$19,$A122,'S7'!$E$6:$E$19,"Ambos")+SUMIFS('S8'!$I$6:$I$23,'S8'!$B$6:$B$23,$A122,'S8'!$E$6:$E$23,"Víctor")+SUMIFS('S8'!$I$6:$I$23,'S8'!$B$6:$B$23,$A122,'S8'!$E$6:$E$23,"Ambos")+SUMIFS('S9'!$I$6:$I$15,'S9'!$B$6:$B$15,$A122,'S9'!$E$6:$E$15,"Víctor")+SUMIFS('S9'!$I$6:$I$15,'S9'!$B$6:$B$15,$A122,'S9'!$E$6:$E$15,"Ambos")+SUMIFS('S10'!$I$6:$I$13,'S10'!$B$6:$B$13,$A122,'S10'!$E$6:$E$13,"Víctor")+SUMIFS('S10'!$I$6:$I$13,'S10'!$B$6:$B$13,$A122,'S10'!$E$6:$E$13,"Ambos")+SUMIFS('Holgura'!$I$6:$I$11,'Holgura'!$B$6:$B$11,$A122,'Holgura'!$E$6:$E$11,"Víctor")+SUMIFS('Holgura'!$I$6:$I$11,'Holgura'!$B$6:$B$11,$A122,'Holgura'!$E$6:$E$11,"Ambos")+SUMIFS('Entrega'!$I$6:$I$9,'Entrega'!$B$6:$B$9,$A122,'Entrega'!$E$6:$E$9,"Víctor")+SUMIFS('Entrega'!$I$6:$I$9,'Entrega'!$B$6:$B$9,$A122,'Entrega'!$E$6:$E$9,"Ambos")+SUMIFS('Defensa'!$I$6:$I$10,'Defensa'!$B$6:$B$10,$A122,'Defensa'!$E$6:$E$10,"Víctor")+SUMIFS('Defensa'!$I$6:$I$10,'Defensa'!$B$6:$B$10,$A122,'Defensa'!$E$6:$E$10,"Ambos")</f>
        <v/>
      </c>
      <c r="E122" s="21">
        <f>SUMIFS('S1'!$I$6:$I$32,'S1'!$B$6:$B$32,$A122,'S1'!$E$6:$E$32,"Diego")+SUMIFS('S1'!$I$6:$I$32,'S1'!$B$6:$B$32,$A122,'S1'!$E$6:$E$32,"Ambos")+SUMIFS('S2'!$I$6:$I$23,'S2'!$B$6:$B$23,$A122,'S2'!$E$6:$E$23,"Diego")+SUMIFS('S2'!$I$6:$I$23,'S2'!$B$6:$B$23,$A122,'S2'!$E$6:$E$23,"Ambos")+SUMIFS('S3'!$I$6:$I$24,'S3'!$B$6:$B$24,$A122,'S3'!$E$6:$E$24,"Diego")+SUMIFS('S3'!$I$6:$I$24,'S3'!$B$6:$B$24,$A122,'S3'!$E$6:$E$24,"Ambos")+SUMIFS('S4'!$I$6:$I$22,'S4'!$B$6:$B$22,$A122,'S4'!$E$6:$E$22,"Diego")+SUMIFS('S4'!$I$6:$I$22,'S4'!$B$6:$B$22,$A122,'S4'!$E$6:$E$22,"Ambos")+SUMIFS('S5'!$I$6:$I$20,'S5'!$B$6:$B$20,$A122,'S5'!$E$6:$E$20,"Diego")+SUMIFS('S5'!$I$6:$I$20,'S5'!$B$6:$B$20,$A122,'S5'!$E$6:$E$20,"Ambos")+SUMIFS('S6'!$I$6:$I$17,'S6'!$B$6:$B$17,$A122,'S6'!$E$6:$E$17,"Diego")+SUMIFS('S6'!$I$6:$I$17,'S6'!$B$6:$B$17,$A122,'S6'!$E$6:$E$17,"Ambos")+SUMIFS('S7'!$I$6:$I$19,'S7'!$B$6:$B$19,$A122,'S7'!$E$6:$E$19,"Diego")+SUMIFS('S7'!$I$6:$I$19,'S7'!$B$6:$B$19,$A122,'S7'!$E$6:$E$19,"Ambos")+SUMIFS('S8'!$I$6:$I$23,'S8'!$B$6:$B$23,$A122,'S8'!$E$6:$E$23,"Diego")+SUMIFS('S8'!$I$6:$I$23,'S8'!$B$6:$B$23,$A122,'S8'!$E$6:$E$23,"Ambos")+SUMIFS('S9'!$I$6:$I$15,'S9'!$B$6:$B$15,$A122,'S9'!$E$6:$E$15,"Diego")+SUMIFS('S9'!$I$6:$I$15,'S9'!$B$6:$B$15,$A122,'S9'!$E$6:$E$15,"Ambos")+SUMIFS('S10'!$I$6:$I$13,'S10'!$B$6:$B$13,$A122,'S10'!$E$6:$E$13,"Diego")+SUMIFS('S10'!$I$6:$I$13,'S10'!$B$6:$B$13,$A122,'S10'!$E$6:$E$13,"Ambos")+SUMIFS('Holgura'!$I$6:$I$11,'Holgura'!$B$6:$B$11,$A122,'Holgura'!$E$6:$E$11,"Diego")+SUMIFS('Holgura'!$I$6:$I$11,'Holgura'!$B$6:$B$11,$A122,'Holgura'!$E$6:$E$11,"Ambos")+SUMIFS('Entrega'!$I$6:$I$9,'Entrega'!$B$6:$B$9,$A122,'Entrega'!$E$6:$E$9,"Diego")+SUMIFS('Entrega'!$I$6:$I$9,'Entrega'!$B$6:$B$9,$A122,'Entrega'!$E$6:$E$9,"Ambos")+SUMIFS('Defensa'!$I$6:$I$10,'Defensa'!$B$6:$B$10,$A122,'Defensa'!$E$6:$E$10,"Diego")+SUMIFS('Defensa'!$I$6:$I$10,'Defensa'!$B$6:$B$10,$A122,'Defensa'!$E$6:$E$10,"Ambos")</f>
        <v/>
      </c>
      <c r="F122" s="21">
        <f>COUNTIFS('S1'!$B$6:$B$32,$A122,'S1'!$E$6:$E$32,"Víctor")+COUNTIFS('S1'!$B$6:$B$32,$A122,'S1'!$E$6:$E$32,"Ambos")+COUNTIFS('S2'!$B$6:$B$23,$A122,'S2'!$E$6:$E$23,"Víctor")+COUNTIFS('S2'!$B$6:$B$23,$A122,'S2'!$E$6:$E$23,"Ambos")+COUNTIFS('S3'!$B$6:$B$24,$A122,'S3'!$E$6:$E$24,"Víctor")+COUNTIFS('S3'!$B$6:$B$24,$A122,'S3'!$E$6:$E$24,"Ambos")+COUNTIFS('S4'!$B$6:$B$22,$A122,'S4'!$E$6:$E$22,"Víctor")+COUNTIFS('S4'!$B$6:$B$22,$A122,'S4'!$E$6:$E$22,"Ambos")+COUNTIFS('S5'!$B$6:$B$20,$A122,'S5'!$E$6:$E$20,"Víctor")+COUNTIFS('S5'!$B$6:$B$20,$A122,'S5'!$E$6:$E$20,"Ambos")+COUNTIFS('S6'!$B$6:$B$17,$A122,'S6'!$E$6:$E$17,"Víctor")+COUNTIFS('S6'!$B$6:$B$17,$A122,'S6'!$E$6:$E$17,"Ambos")+COUNTIFS('S7'!$B$6:$B$19,$A122,'S7'!$E$6:$E$19,"Víctor")+COUNTIFS('S7'!$B$6:$B$19,$A122,'S7'!$E$6:$E$19,"Ambos")+COUNTIFS('S8'!$B$6:$B$23,$A122,'S8'!$E$6:$E$23,"Víctor")+COUNTIFS('S8'!$B$6:$B$23,$A122,'S8'!$E$6:$E$23,"Ambos")+COUNTIFS('S9'!$B$6:$B$15,$A122,'S9'!$E$6:$E$15,"Víctor")+COUNTIFS('S9'!$B$6:$B$15,$A122,'S9'!$E$6:$E$15,"Ambos")+COUNTIFS('S10'!$B$6:$B$13,$A122,'S10'!$E$6:$E$13,"Víctor")+COUNTIFS('S10'!$B$6:$B$13,$A122,'S10'!$E$6:$E$13,"Ambos")+COUNTIFS('Holgura'!$B$6:$B$11,$A122,'Holgura'!$E$6:$E$11,"Víctor")+COUNTIFS('Holgura'!$B$6:$B$11,$A122,'Holgura'!$E$6:$E$11,"Ambos")+COUNTIFS('Entrega'!$B$6:$B$9,$A122,'Entrega'!$E$6:$E$9,"Víctor")+COUNTIFS('Entrega'!$B$6:$B$9,$A122,'Entrega'!$E$6:$E$9,"Ambos")+COUNTIFS('Defensa'!$B$6:$B$10,$A122,'Defensa'!$E$6:$E$10,"Víctor")+COUNTIFS('Defensa'!$B$6:$B$10,$A122,'Defensa'!$E$6:$E$10,"Ambos")</f>
        <v/>
      </c>
      <c r="G122" s="21">
        <f>COUNTIFS('S1'!$B$6:$B$32,$A122,'S1'!$E$6:$E$32,"Diego")+COUNTIFS('S1'!$B$6:$B$32,$A122,'S1'!$E$6:$E$32,"Ambos")+COUNTIFS('S2'!$B$6:$B$23,$A122,'S2'!$E$6:$E$23,"Diego")+COUNTIFS('S2'!$B$6:$B$23,$A122,'S2'!$E$6:$E$23,"Ambos")+COUNTIFS('S3'!$B$6:$B$24,$A122,'S3'!$E$6:$E$24,"Diego")+COUNTIFS('S3'!$B$6:$B$24,$A122,'S3'!$E$6:$E$24,"Ambos")+COUNTIFS('S4'!$B$6:$B$22,$A122,'S4'!$E$6:$E$22,"Diego")+COUNTIFS('S4'!$B$6:$B$22,$A122,'S4'!$E$6:$E$22,"Ambos")+COUNTIFS('S5'!$B$6:$B$20,$A122,'S5'!$E$6:$E$20,"Diego")+COUNTIFS('S5'!$B$6:$B$20,$A122,'S5'!$E$6:$E$20,"Ambos")+COUNTIFS('S6'!$B$6:$B$17,$A122,'S6'!$E$6:$E$17,"Diego")+COUNTIFS('S6'!$B$6:$B$17,$A122,'S6'!$E$6:$E$17,"Ambos")+COUNTIFS('S7'!$B$6:$B$19,$A122,'S7'!$E$6:$E$19,"Diego")+COUNTIFS('S7'!$B$6:$B$19,$A122,'S7'!$E$6:$E$19,"Ambos")+COUNTIFS('S8'!$B$6:$B$23,$A122,'S8'!$E$6:$E$23,"Diego")+COUNTIFS('S8'!$B$6:$B$23,$A122,'S8'!$E$6:$E$23,"Ambos")+COUNTIFS('S9'!$B$6:$B$15,$A122,'S9'!$E$6:$E$15,"Diego")+COUNTIFS('S9'!$B$6:$B$15,$A122,'S9'!$E$6:$E$15,"Ambos")+COUNTIFS('S10'!$B$6:$B$13,$A122,'S10'!$E$6:$E$13,"Diego")+COUNTIFS('S10'!$B$6:$B$13,$A122,'S10'!$E$6:$E$13,"Ambos")+COUNTIFS('Holgura'!$B$6:$B$11,$A122,'Holgura'!$E$6:$E$11,"Diego")+COUNTIFS('Holgura'!$B$6:$B$11,$A122,'Holgura'!$E$6:$E$11,"Ambos")+COUNTIFS('Entrega'!$B$6:$B$9,$A122,'Entrega'!$E$6:$E$9,"Diego")+COUNTIFS('Entrega'!$B$6:$B$9,$A122,'Entrega'!$E$6:$E$9,"Ambos")+COUNTIFS('Defensa'!$B$6:$B$10,$A122,'Defensa'!$E$6:$E$10,"Diego")+COUNTIFS('Defensa'!$B$6:$B$10,$A122,'Defensa'!$E$6:$E$10,"Ambos")</f>
        <v/>
      </c>
    </row>
    <row r="123">
      <c r="A123" s="25" t="n">
        <v>46425</v>
      </c>
      <c r="B123" s="26">
        <f>A123</f>
        <v/>
      </c>
      <c r="C123" s="21">
        <f>IF(WEEKDAY(A123,2)&gt;5,4,2)</f>
        <v/>
      </c>
      <c r="D123" s="21">
        <f>SUMIFS('S1'!$I$6:$I$32,'S1'!$B$6:$B$32,$A123,'S1'!$E$6:$E$32,"Víctor")+SUMIFS('S1'!$I$6:$I$32,'S1'!$B$6:$B$32,$A123,'S1'!$E$6:$E$32,"Ambos")+SUMIFS('S2'!$I$6:$I$23,'S2'!$B$6:$B$23,$A123,'S2'!$E$6:$E$23,"Víctor")+SUMIFS('S2'!$I$6:$I$23,'S2'!$B$6:$B$23,$A123,'S2'!$E$6:$E$23,"Ambos")+SUMIFS('S3'!$I$6:$I$24,'S3'!$B$6:$B$24,$A123,'S3'!$E$6:$E$24,"Víctor")+SUMIFS('S3'!$I$6:$I$24,'S3'!$B$6:$B$24,$A123,'S3'!$E$6:$E$24,"Ambos")+SUMIFS('S4'!$I$6:$I$22,'S4'!$B$6:$B$22,$A123,'S4'!$E$6:$E$22,"Víctor")+SUMIFS('S4'!$I$6:$I$22,'S4'!$B$6:$B$22,$A123,'S4'!$E$6:$E$22,"Ambos")+SUMIFS('S5'!$I$6:$I$20,'S5'!$B$6:$B$20,$A123,'S5'!$E$6:$E$20,"Víctor")+SUMIFS('S5'!$I$6:$I$20,'S5'!$B$6:$B$20,$A123,'S5'!$E$6:$E$20,"Ambos")+SUMIFS('S6'!$I$6:$I$17,'S6'!$B$6:$B$17,$A123,'S6'!$E$6:$E$17,"Víctor")+SUMIFS('S6'!$I$6:$I$17,'S6'!$B$6:$B$17,$A123,'S6'!$E$6:$E$17,"Ambos")+SUMIFS('S7'!$I$6:$I$19,'S7'!$B$6:$B$19,$A123,'S7'!$E$6:$E$19,"Víctor")+SUMIFS('S7'!$I$6:$I$19,'S7'!$B$6:$B$19,$A123,'S7'!$E$6:$E$19,"Ambos")+SUMIFS('S8'!$I$6:$I$23,'S8'!$B$6:$B$23,$A123,'S8'!$E$6:$E$23,"Víctor")+SUMIFS('S8'!$I$6:$I$23,'S8'!$B$6:$B$23,$A123,'S8'!$E$6:$E$23,"Ambos")+SUMIFS('S9'!$I$6:$I$15,'S9'!$B$6:$B$15,$A123,'S9'!$E$6:$E$15,"Víctor")+SUMIFS('S9'!$I$6:$I$15,'S9'!$B$6:$B$15,$A123,'S9'!$E$6:$E$15,"Ambos")+SUMIFS('S10'!$I$6:$I$13,'S10'!$B$6:$B$13,$A123,'S10'!$E$6:$E$13,"Víctor")+SUMIFS('S10'!$I$6:$I$13,'S10'!$B$6:$B$13,$A123,'S10'!$E$6:$E$13,"Ambos")+SUMIFS('Holgura'!$I$6:$I$11,'Holgura'!$B$6:$B$11,$A123,'Holgura'!$E$6:$E$11,"Víctor")+SUMIFS('Holgura'!$I$6:$I$11,'Holgura'!$B$6:$B$11,$A123,'Holgura'!$E$6:$E$11,"Ambos")+SUMIFS('Entrega'!$I$6:$I$9,'Entrega'!$B$6:$B$9,$A123,'Entrega'!$E$6:$E$9,"Víctor")+SUMIFS('Entrega'!$I$6:$I$9,'Entrega'!$B$6:$B$9,$A123,'Entrega'!$E$6:$E$9,"Ambos")+SUMIFS('Defensa'!$I$6:$I$10,'Defensa'!$B$6:$B$10,$A123,'Defensa'!$E$6:$E$10,"Víctor")+SUMIFS('Defensa'!$I$6:$I$10,'Defensa'!$B$6:$B$10,$A123,'Defensa'!$E$6:$E$10,"Ambos")</f>
        <v/>
      </c>
      <c r="E123" s="21">
        <f>SUMIFS('S1'!$I$6:$I$32,'S1'!$B$6:$B$32,$A123,'S1'!$E$6:$E$32,"Diego")+SUMIFS('S1'!$I$6:$I$32,'S1'!$B$6:$B$32,$A123,'S1'!$E$6:$E$32,"Ambos")+SUMIFS('S2'!$I$6:$I$23,'S2'!$B$6:$B$23,$A123,'S2'!$E$6:$E$23,"Diego")+SUMIFS('S2'!$I$6:$I$23,'S2'!$B$6:$B$23,$A123,'S2'!$E$6:$E$23,"Ambos")+SUMIFS('S3'!$I$6:$I$24,'S3'!$B$6:$B$24,$A123,'S3'!$E$6:$E$24,"Diego")+SUMIFS('S3'!$I$6:$I$24,'S3'!$B$6:$B$24,$A123,'S3'!$E$6:$E$24,"Ambos")+SUMIFS('S4'!$I$6:$I$22,'S4'!$B$6:$B$22,$A123,'S4'!$E$6:$E$22,"Diego")+SUMIFS('S4'!$I$6:$I$22,'S4'!$B$6:$B$22,$A123,'S4'!$E$6:$E$22,"Ambos")+SUMIFS('S5'!$I$6:$I$20,'S5'!$B$6:$B$20,$A123,'S5'!$E$6:$E$20,"Diego")+SUMIFS('S5'!$I$6:$I$20,'S5'!$B$6:$B$20,$A123,'S5'!$E$6:$E$20,"Ambos")+SUMIFS('S6'!$I$6:$I$17,'S6'!$B$6:$B$17,$A123,'S6'!$E$6:$E$17,"Diego")+SUMIFS('S6'!$I$6:$I$17,'S6'!$B$6:$B$17,$A123,'S6'!$E$6:$E$17,"Ambos")+SUMIFS('S7'!$I$6:$I$19,'S7'!$B$6:$B$19,$A123,'S7'!$E$6:$E$19,"Diego")+SUMIFS('S7'!$I$6:$I$19,'S7'!$B$6:$B$19,$A123,'S7'!$E$6:$E$19,"Ambos")+SUMIFS('S8'!$I$6:$I$23,'S8'!$B$6:$B$23,$A123,'S8'!$E$6:$E$23,"Diego")+SUMIFS('S8'!$I$6:$I$23,'S8'!$B$6:$B$23,$A123,'S8'!$E$6:$E$23,"Ambos")+SUMIFS('S9'!$I$6:$I$15,'S9'!$B$6:$B$15,$A123,'S9'!$E$6:$E$15,"Diego")+SUMIFS('S9'!$I$6:$I$15,'S9'!$B$6:$B$15,$A123,'S9'!$E$6:$E$15,"Ambos")+SUMIFS('S10'!$I$6:$I$13,'S10'!$B$6:$B$13,$A123,'S10'!$E$6:$E$13,"Diego")+SUMIFS('S10'!$I$6:$I$13,'S10'!$B$6:$B$13,$A123,'S10'!$E$6:$E$13,"Ambos")+SUMIFS('Holgura'!$I$6:$I$11,'Holgura'!$B$6:$B$11,$A123,'Holgura'!$E$6:$E$11,"Diego")+SUMIFS('Holgura'!$I$6:$I$11,'Holgura'!$B$6:$B$11,$A123,'Holgura'!$E$6:$E$11,"Ambos")+SUMIFS('Entrega'!$I$6:$I$9,'Entrega'!$B$6:$B$9,$A123,'Entrega'!$E$6:$E$9,"Diego")+SUMIFS('Entrega'!$I$6:$I$9,'Entrega'!$B$6:$B$9,$A123,'Entrega'!$E$6:$E$9,"Ambos")+SUMIFS('Defensa'!$I$6:$I$10,'Defensa'!$B$6:$B$10,$A123,'Defensa'!$E$6:$E$10,"Diego")+SUMIFS('Defensa'!$I$6:$I$10,'Defensa'!$B$6:$B$10,$A123,'Defensa'!$E$6:$E$10,"Ambos")</f>
        <v/>
      </c>
      <c r="F123" s="21">
        <f>COUNTIFS('S1'!$B$6:$B$32,$A123,'S1'!$E$6:$E$32,"Víctor")+COUNTIFS('S1'!$B$6:$B$32,$A123,'S1'!$E$6:$E$32,"Ambos")+COUNTIFS('S2'!$B$6:$B$23,$A123,'S2'!$E$6:$E$23,"Víctor")+COUNTIFS('S2'!$B$6:$B$23,$A123,'S2'!$E$6:$E$23,"Ambos")+COUNTIFS('S3'!$B$6:$B$24,$A123,'S3'!$E$6:$E$24,"Víctor")+COUNTIFS('S3'!$B$6:$B$24,$A123,'S3'!$E$6:$E$24,"Ambos")+COUNTIFS('S4'!$B$6:$B$22,$A123,'S4'!$E$6:$E$22,"Víctor")+COUNTIFS('S4'!$B$6:$B$22,$A123,'S4'!$E$6:$E$22,"Ambos")+COUNTIFS('S5'!$B$6:$B$20,$A123,'S5'!$E$6:$E$20,"Víctor")+COUNTIFS('S5'!$B$6:$B$20,$A123,'S5'!$E$6:$E$20,"Ambos")+COUNTIFS('S6'!$B$6:$B$17,$A123,'S6'!$E$6:$E$17,"Víctor")+COUNTIFS('S6'!$B$6:$B$17,$A123,'S6'!$E$6:$E$17,"Ambos")+COUNTIFS('S7'!$B$6:$B$19,$A123,'S7'!$E$6:$E$19,"Víctor")+COUNTIFS('S7'!$B$6:$B$19,$A123,'S7'!$E$6:$E$19,"Ambos")+COUNTIFS('S8'!$B$6:$B$23,$A123,'S8'!$E$6:$E$23,"Víctor")+COUNTIFS('S8'!$B$6:$B$23,$A123,'S8'!$E$6:$E$23,"Ambos")+COUNTIFS('S9'!$B$6:$B$15,$A123,'S9'!$E$6:$E$15,"Víctor")+COUNTIFS('S9'!$B$6:$B$15,$A123,'S9'!$E$6:$E$15,"Ambos")+COUNTIFS('S10'!$B$6:$B$13,$A123,'S10'!$E$6:$E$13,"Víctor")+COUNTIFS('S10'!$B$6:$B$13,$A123,'S10'!$E$6:$E$13,"Ambos")+COUNTIFS('Holgura'!$B$6:$B$11,$A123,'Holgura'!$E$6:$E$11,"Víctor")+COUNTIFS('Holgura'!$B$6:$B$11,$A123,'Holgura'!$E$6:$E$11,"Ambos")+COUNTIFS('Entrega'!$B$6:$B$9,$A123,'Entrega'!$E$6:$E$9,"Víctor")+COUNTIFS('Entrega'!$B$6:$B$9,$A123,'Entrega'!$E$6:$E$9,"Ambos")+COUNTIFS('Defensa'!$B$6:$B$10,$A123,'Defensa'!$E$6:$E$10,"Víctor")+COUNTIFS('Defensa'!$B$6:$B$10,$A123,'Defensa'!$E$6:$E$10,"Ambos")</f>
        <v/>
      </c>
      <c r="G123" s="21">
        <f>COUNTIFS('S1'!$B$6:$B$32,$A123,'S1'!$E$6:$E$32,"Diego")+COUNTIFS('S1'!$B$6:$B$32,$A123,'S1'!$E$6:$E$32,"Ambos")+COUNTIFS('S2'!$B$6:$B$23,$A123,'S2'!$E$6:$E$23,"Diego")+COUNTIFS('S2'!$B$6:$B$23,$A123,'S2'!$E$6:$E$23,"Ambos")+COUNTIFS('S3'!$B$6:$B$24,$A123,'S3'!$E$6:$E$24,"Diego")+COUNTIFS('S3'!$B$6:$B$24,$A123,'S3'!$E$6:$E$24,"Ambos")+COUNTIFS('S4'!$B$6:$B$22,$A123,'S4'!$E$6:$E$22,"Diego")+COUNTIFS('S4'!$B$6:$B$22,$A123,'S4'!$E$6:$E$22,"Ambos")+COUNTIFS('S5'!$B$6:$B$20,$A123,'S5'!$E$6:$E$20,"Diego")+COUNTIFS('S5'!$B$6:$B$20,$A123,'S5'!$E$6:$E$20,"Ambos")+COUNTIFS('S6'!$B$6:$B$17,$A123,'S6'!$E$6:$E$17,"Diego")+COUNTIFS('S6'!$B$6:$B$17,$A123,'S6'!$E$6:$E$17,"Ambos")+COUNTIFS('S7'!$B$6:$B$19,$A123,'S7'!$E$6:$E$19,"Diego")+COUNTIFS('S7'!$B$6:$B$19,$A123,'S7'!$E$6:$E$19,"Ambos")+COUNTIFS('S8'!$B$6:$B$23,$A123,'S8'!$E$6:$E$23,"Diego")+COUNTIFS('S8'!$B$6:$B$23,$A123,'S8'!$E$6:$E$23,"Ambos")+COUNTIFS('S9'!$B$6:$B$15,$A123,'S9'!$E$6:$E$15,"Diego")+COUNTIFS('S9'!$B$6:$B$15,$A123,'S9'!$E$6:$E$15,"Ambos")+COUNTIFS('S10'!$B$6:$B$13,$A123,'S10'!$E$6:$E$13,"Diego")+COUNTIFS('S10'!$B$6:$B$13,$A123,'S10'!$E$6:$E$13,"Ambos")+COUNTIFS('Holgura'!$B$6:$B$11,$A123,'Holgura'!$E$6:$E$11,"Diego")+COUNTIFS('Holgura'!$B$6:$B$11,$A123,'Holgura'!$E$6:$E$11,"Ambos")+COUNTIFS('Entrega'!$B$6:$B$9,$A123,'Entrega'!$E$6:$E$9,"Diego")+COUNTIFS('Entrega'!$B$6:$B$9,$A123,'Entrega'!$E$6:$E$9,"Ambos")+COUNTIFS('Defensa'!$B$6:$B$10,$A123,'Defensa'!$E$6:$E$10,"Diego")+COUNTIFS('Defensa'!$B$6:$B$10,$A123,'Defensa'!$E$6:$E$10,"Ambos")</f>
        <v/>
      </c>
    </row>
    <row r="124">
      <c r="A124" s="25" t="n">
        <v>46426</v>
      </c>
      <c r="B124" s="26">
        <f>A124</f>
        <v/>
      </c>
      <c r="C124" s="21">
        <f>IF(WEEKDAY(A124,2)&gt;5,4,2)</f>
        <v/>
      </c>
      <c r="D124" s="21">
        <f>SUMIFS('S1'!$I$6:$I$32,'S1'!$B$6:$B$32,$A124,'S1'!$E$6:$E$32,"Víctor")+SUMIFS('S1'!$I$6:$I$32,'S1'!$B$6:$B$32,$A124,'S1'!$E$6:$E$32,"Ambos")+SUMIFS('S2'!$I$6:$I$23,'S2'!$B$6:$B$23,$A124,'S2'!$E$6:$E$23,"Víctor")+SUMIFS('S2'!$I$6:$I$23,'S2'!$B$6:$B$23,$A124,'S2'!$E$6:$E$23,"Ambos")+SUMIFS('S3'!$I$6:$I$24,'S3'!$B$6:$B$24,$A124,'S3'!$E$6:$E$24,"Víctor")+SUMIFS('S3'!$I$6:$I$24,'S3'!$B$6:$B$24,$A124,'S3'!$E$6:$E$24,"Ambos")+SUMIFS('S4'!$I$6:$I$22,'S4'!$B$6:$B$22,$A124,'S4'!$E$6:$E$22,"Víctor")+SUMIFS('S4'!$I$6:$I$22,'S4'!$B$6:$B$22,$A124,'S4'!$E$6:$E$22,"Ambos")+SUMIFS('S5'!$I$6:$I$20,'S5'!$B$6:$B$20,$A124,'S5'!$E$6:$E$20,"Víctor")+SUMIFS('S5'!$I$6:$I$20,'S5'!$B$6:$B$20,$A124,'S5'!$E$6:$E$20,"Ambos")+SUMIFS('S6'!$I$6:$I$17,'S6'!$B$6:$B$17,$A124,'S6'!$E$6:$E$17,"Víctor")+SUMIFS('S6'!$I$6:$I$17,'S6'!$B$6:$B$17,$A124,'S6'!$E$6:$E$17,"Ambos")+SUMIFS('S7'!$I$6:$I$19,'S7'!$B$6:$B$19,$A124,'S7'!$E$6:$E$19,"Víctor")+SUMIFS('S7'!$I$6:$I$19,'S7'!$B$6:$B$19,$A124,'S7'!$E$6:$E$19,"Ambos")+SUMIFS('S8'!$I$6:$I$23,'S8'!$B$6:$B$23,$A124,'S8'!$E$6:$E$23,"Víctor")+SUMIFS('S8'!$I$6:$I$23,'S8'!$B$6:$B$23,$A124,'S8'!$E$6:$E$23,"Ambos")+SUMIFS('S9'!$I$6:$I$15,'S9'!$B$6:$B$15,$A124,'S9'!$E$6:$E$15,"Víctor")+SUMIFS('S9'!$I$6:$I$15,'S9'!$B$6:$B$15,$A124,'S9'!$E$6:$E$15,"Ambos")+SUMIFS('S10'!$I$6:$I$13,'S10'!$B$6:$B$13,$A124,'S10'!$E$6:$E$13,"Víctor")+SUMIFS('S10'!$I$6:$I$13,'S10'!$B$6:$B$13,$A124,'S10'!$E$6:$E$13,"Ambos")+SUMIFS('Holgura'!$I$6:$I$11,'Holgura'!$B$6:$B$11,$A124,'Holgura'!$E$6:$E$11,"Víctor")+SUMIFS('Holgura'!$I$6:$I$11,'Holgura'!$B$6:$B$11,$A124,'Holgura'!$E$6:$E$11,"Ambos")+SUMIFS('Entrega'!$I$6:$I$9,'Entrega'!$B$6:$B$9,$A124,'Entrega'!$E$6:$E$9,"Víctor")+SUMIFS('Entrega'!$I$6:$I$9,'Entrega'!$B$6:$B$9,$A124,'Entrega'!$E$6:$E$9,"Ambos")+SUMIFS('Defensa'!$I$6:$I$10,'Defensa'!$B$6:$B$10,$A124,'Defensa'!$E$6:$E$10,"Víctor")+SUMIFS('Defensa'!$I$6:$I$10,'Defensa'!$B$6:$B$10,$A124,'Defensa'!$E$6:$E$10,"Ambos")</f>
        <v/>
      </c>
      <c r="E124" s="21">
        <f>SUMIFS('S1'!$I$6:$I$32,'S1'!$B$6:$B$32,$A124,'S1'!$E$6:$E$32,"Diego")+SUMIFS('S1'!$I$6:$I$32,'S1'!$B$6:$B$32,$A124,'S1'!$E$6:$E$32,"Ambos")+SUMIFS('S2'!$I$6:$I$23,'S2'!$B$6:$B$23,$A124,'S2'!$E$6:$E$23,"Diego")+SUMIFS('S2'!$I$6:$I$23,'S2'!$B$6:$B$23,$A124,'S2'!$E$6:$E$23,"Ambos")+SUMIFS('S3'!$I$6:$I$24,'S3'!$B$6:$B$24,$A124,'S3'!$E$6:$E$24,"Diego")+SUMIFS('S3'!$I$6:$I$24,'S3'!$B$6:$B$24,$A124,'S3'!$E$6:$E$24,"Ambos")+SUMIFS('S4'!$I$6:$I$22,'S4'!$B$6:$B$22,$A124,'S4'!$E$6:$E$22,"Diego")+SUMIFS('S4'!$I$6:$I$22,'S4'!$B$6:$B$22,$A124,'S4'!$E$6:$E$22,"Ambos")+SUMIFS('S5'!$I$6:$I$20,'S5'!$B$6:$B$20,$A124,'S5'!$E$6:$E$20,"Diego")+SUMIFS('S5'!$I$6:$I$20,'S5'!$B$6:$B$20,$A124,'S5'!$E$6:$E$20,"Ambos")+SUMIFS('S6'!$I$6:$I$17,'S6'!$B$6:$B$17,$A124,'S6'!$E$6:$E$17,"Diego")+SUMIFS('S6'!$I$6:$I$17,'S6'!$B$6:$B$17,$A124,'S6'!$E$6:$E$17,"Ambos")+SUMIFS('S7'!$I$6:$I$19,'S7'!$B$6:$B$19,$A124,'S7'!$E$6:$E$19,"Diego")+SUMIFS('S7'!$I$6:$I$19,'S7'!$B$6:$B$19,$A124,'S7'!$E$6:$E$19,"Ambos")+SUMIFS('S8'!$I$6:$I$23,'S8'!$B$6:$B$23,$A124,'S8'!$E$6:$E$23,"Diego")+SUMIFS('S8'!$I$6:$I$23,'S8'!$B$6:$B$23,$A124,'S8'!$E$6:$E$23,"Ambos")+SUMIFS('S9'!$I$6:$I$15,'S9'!$B$6:$B$15,$A124,'S9'!$E$6:$E$15,"Diego")+SUMIFS('S9'!$I$6:$I$15,'S9'!$B$6:$B$15,$A124,'S9'!$E$6:$E$15,"Ambos")+SUMIFS('S10'!$I$6:$I$13,'S10'!$B$6:$B$13,$A124,'S10'!$E$6:$E$13,"Diego")+SUMIFS('S10'!$I$6:$I$13,'S10'!$B$6:$B$13,$A124,'S10'!$E$6:$E$13,"Ambos")+SUMIFS('Holgura'!$I$6:$I$11,'Holgura'!$B$6:$B$11,$A124,'Holgura'!$E$6:$E$11,"Diego")+SUMIFS('Holgura'!$I$6:$I$11,'Holgura'!$B$6:$B$11,$A124,'Holgura'!$E$6:$E$11,"Ambos")+SUMIFS('Entrega'!$I$6:$I$9,'Entrega'!$B$6:$B$9,$A124,'Entrega'!$E$6:$E$9,"Diego")+SUMIFS('Entrega'!$I$6:$I$9,'Entrega'!$B$6:$B$9,$A124,'Entrega'!$E$6:$E$9,"Ambos")+SUMIFS('Defensa'!$I$6:$I$10,'Defensa'!$B$6:$B$10,$A124,'Defensa'!$E$6:$E$10,"Diego")+SUMIFS('Defensa'!$I$6:$I$10,'Defensa'!$B$6:$B$10,$A124,'Defensa'!$E$6:$E$10,"Ambos")</f>
        <v/>
      </c>
      <c r="F124" s="21">
        <f>COUNTIFS('S1'!$B$6:$B$32,$A124,'S1'!$E$6:$E$32,"Víctor")+COUNTIFS('S1'!$B$6:$B$32,$A124,'S1'!$E$6:$E$32,"Ambos")+COUNTIFS('S2'!$B$6:$B$23,$A124,'S2'!$E$6:$E$23,"Víctor")+COUNTIFS('S2'!$B$6:$B$23,$A124,'S2'!$E$6:$E$23,"Ambos")+COUNTIFS('S3'!$B$6:$B$24,$A124,'S3'!$E$6:$E$24,"Víctor")+COUNTIFS('S3'!$B$6:$B$24,$A124,'S3'!$E$6:$E$24,"Ambos")+COUNTIFS('S4'!$B$6:$B$22,$A124,'S4'!$E$6:$E$22,"Víctor")+COUNTIFS('S4'!$B$6:$B$22,$A124,'S4'!$E$6:$E$22,"Ambos")+COUNTIFS('S5'!$B$6:$B$20,$A124,'S5'!$E$6:$E$20,"Víctor")+COUNTIFS('S5'!$B$6:$B$20,$A124,'S5'!$E$6:$E$20,"Ambos")+COUNTIFS('S6'!$B$6:$B$17,$A124,'S6'!$E$6:$E$17,"Víctor")+COUNTIFS('S6'!$B$6:$B$17,$A124,'S6'!$E$6:$E$17,"Ambos")+COUNTIFS('S7'!$B$6:$B$19,$A124,'S7'!$E$6:$E$19,"Víctor")+COUNTIFS('S7'!$B$6:$B$19,$A124,'S7'!$E$6:$E$19,"Ambos")+COUNTIFS('S8'!$B$6:$B$23,$A124,'S8'!$E$6:$E$23,"Víctor")+COUNTIFS('S8'!$B$6:$B$23,$A124,'S8'!$E$6:$E$23,"Ambos")+COUNTIFS('S9'!$B$6:$B$15,$A124,'S9'!$E$6:$E$15,"Víctor")+COUNTIFS('S9'!$B$6:$B$15,$A124,'S9'!$E$6:$E$15,"Ambos")+COUNTIFS('S10'!$B$6:$B$13,$A124,'S10'!$E$6:$E$13,"Víctor")+COUNTIFS('S10'!$B$6:$B$13,$A124,'S10'!$E$6:$E$13,"Ambos")+COUNTIFS('Holgura'!$B$6:$B$11,$A124,'Holgura'!$E$6:$E$11,"Víctor")+COUNTIFS('Holgura'!$B$6:$B$11,$A124,'Holgura'!$E$6:$E$11,"Ambos")+COUNTIFS('Entrega'!$B$6:$B$9,$A124,'Entrega'!$E$6:$E$9,"Víctor")+COUNTIFS('Entrega'!$B$6:$B$9,$A124,'Entrega'!$E$6:$E$9,"Ambos")+COUNTIFS('Defensa'!$B$6:$B$10,$A124,'Defensa'!$E$6:$E$10,"Víctor")+COUNTIFS('Defensa'!$B$6:$B$10,$A124,'Defensa'!$E$6:$E$10,"Ambos")</f>
        <v/>
      </c>
      <c r="G124" s="21">
        <f>COUNTIFS('S1'!$B$6:$B$32,$A124,'S1'!$E$6:$E$32,"Diego")+COUNTIFS('S1'!$B$6:$B$32,$A124,'S1'!$E$6:$E$32,"Ambos")+COUNTIFS('S2'!$B$6:$B$23,$A124,'S2'!$E$6:$E$23,"Diego")+COUNTIFS('S2'!$B$6:$B$23,$A124,'S2'!$E$6:$E$23,"Ambos")+COUNTIFS('S3'!$B$6:$B$24,$A124,'S3'!$E$6:$E$24,"Diego")+COUNTIFS('S3'!$B$6:$B$24,$A124,'S3'!$E$6:$E$24,"Ambos")+COUNTIFS('S4'!$B$6:$B$22,$A124,'S4'!$E$6:$E$22,"Diego")+COUNTIFS('S4'!$B$6:$B$22,$A124,'S4'!$E$6:$E$22,"Ambos")+COUNTIFS('S5'!$B$6:$B$20,$A124,'S5'!$E$6:$E$20,"Diego")+COUNTIFS('S5'!$B$6:$B$20,$A124,'S5'!$E$6:$E$20,"Ambos")+COUNTIFS('S6'!$B$6:$B$17,$A124,'S6'!$E$6:$E$17,"Diego")+COUNTIFS('S6'!$B$6:$B$17,$A124,'S6'!$E$6:$E$17,"Ambos")+COUNTIFS('S7'!$B$6:$B$19,$A124,'S7'!$E$6:$E$19,"Diego")+COUNTIFS('S7'!$B$6:$B$19,$A124,'S7'!$E$6:$E$19,"Ambos")+COUNTIFS('S8'!$B$6:$B$23,$A124,'S8'!$E$6:$E$23,"Diego")+COUNTIFS('S8'!$B$6:$B$23,$A124,'S8'!$E$6:$E$23,"Ambos")+COUNTIFS('S9'!$B$6:$B$15,$A124,'S9'!$E$6:$E$15,"Diego")+COUNTIFS('S9'!$B$6:$B$15,$A124,'S9'!$E$6:$E$15,"Ambos")+COUNTIFS('S10'!$B$6:$B$13,$A124,'S10'!$E$6:$E$13,"Diego")+COUNTIFS('S10'!$B$6:$B$13,$A124,'S10'!$E$6:$E$13,"Ambos")+COUNTIFS('Holgura'!$B$6:$B$11,$A124,'Holgura'!$E$6:$E$11,"Diego")+COUNTIFS('Holgura'!$B$6:$B$11,$A124,'Holgura'!$E$6:$E$11,"Ambos")+COUNTIFS('Entrega'!$B$6:$B$9,$A124,'Entrega'!$E$6:$E$9,"Diego")+COUNTIFS('Entrega'!$B$6:$B$9,$A124,'Entrega'!$E$6:$E$9,"Ambos")+COUNTIFS('Defensa'!$B$6:$B$10,$A124,'Defensa'!$E$6:$E$10,"Diego")+COUNTIFS('Defensa'!$B$6:$B$10,$A124,'Defensa'!$E$6:$E$10,"Ambos")</f>
        <v/>
      </c>
    </row>
    <row r="125">
      <c r="A125" s="25" t="n">
        <v>46427</v>
      </c>
      <c r="B125" s="26">
        <f>A125</f>
        <v/>
      </c>
      <c r="C125" s="21">
        <f>IF(WEEKDAY(A125,2)&gt;5,4,2)</f>
        <v/>
      </c>
      <c r="D125" s="21">
        <f>SUMIFS('S1'!$I$6:$I$32,'S1'!$B$6:$B$32,$A125,'S1'!$E$6:$E$32,"Víctor")+SUMIFS('S1'!$I$6:$I$32,'S1'!$B$6:$B$32,$A125,'S1'!$E$6:$E$32,"Ambos")+SUMIFS('S2'!$I$6:$I$23,'S2'!$B$6:$B$23,$A125,'S2'!$E$6:$E$23,"Víctor")+SUMIFS('S2'!$I$6:$I$23,'S2'!$B$6:$B$23,$A125,'S2'!$E$6:$E$23,"Ambos")+SUMIFS('S3'!$I$6:$I$24,'S3'!$B$6:$B$24,$A125,'S3'!$E$6:$E$24,"Víctor")+SUMIFS('S3'!$I$6:$I$24,'S3'!$B$6:$B$24,$A125,'S3'!$E$6:$E$24,"Ambos")+SUMIFS('S4'!$I$6:$I$22,'S4'!$B$6:$B$22,$A125,'S4'!$E$6:$E$22,"Víctor")+SUMIFS('S4'!$I$6:$I$22,'S4'!$B$6:$B$22,$A125,'S4'!$E$6:$E$22,"Ambos")+SUMIFS('S5'!$I$6:$I$20,'S5'!$B$6:$B$20,$A125,'S5'!$E$6:$E$20,"Víctor")+SUMIFS('S5'!$I$6:$I$20,'S5'!$B$6:$B$20,$A125,'S5'!$E$6:$E$20,"Ambos")+SUMIFS('S6'!$I$6:$I$17,'S6'!$B$6:$B$17,$A125,'S6'!$E$6:$E$17,"Víctor")+SUMIFS('S6'!$I$6:$I$17,'S6'!$B$6:$B$17,$A125,'S6'!$E$6:$E$17,"Ambos")+SUMIFS('S7'!$I$6:$I$19,'S7'!$B$6:$B$19,$A125,'S7'!$E$6:$E$19,"Víctor")+SUMIFS('S7'!$I$6:$I$19,'S7'!$B$6:$B$19,$A125,'S7'!$E$6:$E$19,"Ambos")+SUMIFS('S8'!$I$6:$I$23,'S8'!$B$6:$B$23,$A125,'S8'!$E$6:$E$23,"Víctor")+SUMIFS('S8'!$I$6:$I$23,'S8'!$B$6:$B$23,$A125,'S8'!$E$6:$E$23,"Ambos")+SUMIFS('S9'!$I$6:$I$15,'S9'!$B$6:$B$15,$A125,'S9'!$E$6:$E$15,"Víctor")+SUMIFS('S9'!$I$6:$I$15,'S9'!$B$6:$B$15,$A125,'S9'!$E$6:$E$15,"Ambos")+SUMIFS('S10'!$I$6:$I$13,'S10'!$B$6:$B$13,$A125,'S10'!$E$6:$E$13,"Víctor")+SUMIFS('S10'!$I$6:$I$13,'S10'!$B$6:$B$13,$A125,'S10'!$E$6:$E$13,"Ambos")+SUMIFS('Holgura'!$I$6:$I$11,'Holgura'!$B$6:$B$11,$A125,'Holgura'!$E$6:$E$11,"Víctor")+SUMIFS('Holgura'!$I$6:$I$11,'Holgura'!$B$6:$B$11,$A125,'Holgura'!$E$6:$E$11,"Ambos")+SUMIFS('Entrega'!$I$6:$I$9,'Entrega'!$B$6:$B$9,$A125,'Entrega'!$E$6:$E$9,"Víctor")+SUMIFS('Entrega'!$I$6:$I$9,'Entrega'!$B$6:$B$9,$A125,'Entrega'!$E$6:$E$9,"Ambos")+SUMIFS('Defensa'!$I$6:$I$10,'Defensa'!$B$6:$B$10,$A125,'Defensa'!$E$6:$E$10,"Víctor")+SUMIFS('Defensa'!$I$6:$I$10,'Defensa'!$B$6:$B$10,$A125,'Defensa'!$E$6:$E$10,"Ambos")</f>
        <v/>
      </c>
      <c r="E125" s="21">
        <f>SUMIFS('S1'!$I$6:$I$32,'S1'!$B$6:$B$32,$A125,'S1'!$E$6:$E$32,"Diego")+SUMIFS('S1'!$I$6:$I$32,'S1'!$B$6:$B$32,$A125,'S1'!$E$6:$E$32,"Ambos")+SUMIFS('S2'!$I$6:$I$23,'S2'!$B$6:$B$23,$A125,'S2'!$E$6:$E$23,"Diego")+SUMIFS('S2'!$I$6:$I$23,'S2'!$B$6:$B$23,$A125,'S2'!$E$6:$E$23,"Ambos")+SUMIFS('S3'!$I$6:$I$24,'S3'!$B$6:$B$24,$A125,'S3'!$E$6:$E$24,"Diego")+SUMIFS('S3'!$I$6:$I$24,'S3'!$B$6:$B$24,$A125,'S3'!$E$6:$E$24,"Ambos")+SUMIFS('S4'!$I$6:$I$22,'S4'!$B$6:$B$22,$A125,'S4'!$E$6:$E$22,"Diego")+SUMIFS('S4'!$I$6:$I$22,'S4'!$B$6:$B$22,$A125,'S4'!$E$6:$E$22,"Ambos")+SUMIFS('S5'!$I$6:$I$20,'S5'!$B$6:$B$20,$A125,'S5'!$E$6:$E$20,"Diego")+SUMIFS('S5'!$I$6:$I$20,'S5'!$B$6:$B$20,$A125,'S5'!$E$6:$E$20,"Ambos")+SUMIFS('S6'!$I$6:$I$17,'S6'!$B$6:$B$17,$A125,'S6'!$E$6:$E$17,"Diego")+SUMIFS('S6'!$I$6:$I$17,'S6'!$B$6:$B$17,$A125,'S6'!$E$6:$E$17,"Ambos")+SUMIFS('S7'!$I$6:$I$19,'S7'!$B$6:$B$19,$A125,'S7'!$E$6:$E$19,"Diego")+SUMIFS('S7'!$I$6:$I$19,'S7'!$B$6:$B$19,$A125,'S7'!$E$6:$E$19,"Ambos")+SUMIFS('S8'!$I$6:$I$23,'S8'!$B$6:$B$23,$A125,'S8'!$E$6:$E$23,"Diego")+SUMIFS('S8'!$I$6:$I$23,'S8'!$B$6:$B$23,$A125,'S8'!$E$6:$E$23,"Ambos")+SUMIFS('S9'!$I$6:$I$15,'S9'!$B$6:$B$15,$A125,'S9'!$E$6:$E$15,"Diego")+SUMIFS('S9'!$I$6:$I$15,'S9'!$B$6:$B$15,$A125,'S9'!$E$6:$E$15,"Ambos")+SUMIFS('S10'!$I$6:$I$13,'S10'!$B$6:$B$13,$A125,'S10'!$E$6:$E$13,"Diego")+SUMIFS('S10'!$I$6:$I$13,'S10'!$B$6:$B$13,$A125,'S10'!$E$6:$E$13,"Ambos")+SUMIFS('Holgura'!$I$6:$I$11,'Holgura'!$B$6:$B$11,$A125,'Holgura'!$E$6:$E$11,"Diego")+SUMIFS('Holgura'!$I$6:$I$11,'Holgura'!$B$6:$B$11,$A125,'Holgura'!$E$6:$E$11,"Ambos")+SUMIFS('Entrega'!$I$6:$I$9,'Entrega'!$B$6:$B$9,$A125,'Entrega'!$E$6:$E$9,"Diego")+SUMIFS('Entrega'!$I$6:$I$9,'Entrega'!$B$6:$B$9,$A125,'Entrega'!$E$6:$E$9,"Ambos")+SUMIFS('Defensa'!$I$6:$I$10,'Defensa'!$B$6:$B$10,$A125,'Defensa'!$E$6:$E$10,"Diego")+SUMIFS('Defensa'!$I$6:$I$10,'Defensa'!$B$6:$B$10,$A125,'Defensa'!$E$6:$E$10,"Ambos")</f>
        <v/>
      </c>
      <c r="F125" s="21">
        <f>COUNTIFS('S1'!$B$6:$B$32,$A125,'S1'!$E$6:$E$32,"Víctor")+COUNTIFS('S1'!$B$6:$B$32,$A125,'S1'!$E$6:$E$32,"Ambos")+COUNTIFS('S2'!$B$6:$B$23,$A125,'S2'!$E$6:$E$23,"Víctor")+COUNTIFS('S2'!$B$6:$B$23,$A125,'S2'!$E$6:$E$23,"Ambos")+COUNTIFS('S3'!$B$6:$B$24,$A125,'S3'!$E$6:$E$24,"Víctor")+COUNTIFS('S3'!$B$6:$B$24,$A125,'S3'!$E$6:$E$24,"Ambos")+COUNTIFS('S4'!$B$6:$B$22,$A125,'S4'!$E$6:$E$22,"Víctor")+COUNTIFS('S4'!$B$6:$B$22,$A125,'S4'!$E$6:$E$22,"Ambos")+COUNTIFS('S5'!$B$6:$B$20,$A125,'S5'!$E$6:$E$20,"Víctor")+COUNTIFS('S5'!$B$6:$B$20,$A125,'S5'!$E$6:$E$20,"Ambos")+COUNTIFS('S6'!$B$6:$B$17,$A125,'S6'!$E$6:$E$17,"Víctor")+COUNTIFS('S6'!$B$6:$B$17,$A125,'S6'!$E$6:$E$17,"Ambos")+COUNTIFS('S7'!$B$6:$B$19,$A125,'S7'!$E$6:$E$19,"Víctor")+COUNTIFS('S7'!$B$6:$B$19,$A125,'S7'!$E$6:$E$19,"Ambos")+COUNTIFS('S8'!$B$6:$B$23,$A125,'S8'!$E$6:$E$23,"Víctor")+COUNTIFS('S8'!$B$6:$B$23,$A125,'S8'!$E$6:$E$23,"Ambos")+COUNTIFS('S9'!$B$6:$B$15,$A125,'S9'!$E$6:$E$15,"Víctor")+COUNTIFS('S9'!$B$6:$B$15,$A125,'S9'!$E$6:$E$15,"Ambos")+COUNTIFS('S10'!$B$6:$B$13,$A125,'S10'!$E$6:$E$13,"Víctor")+COUNTIFS('S10'!$B$6:$B$13,$A125,'S10'!$E$6:$E$13,"Ambos")+COUNTIFS('Holgura'!$B$6:$B$11,$A125,'Holgura'!$E$6:$E$11,"Víctor")+COUNTIFS('Holgura'!$B$6:$B$11,$A125,'Holgura'!$E$6:$E$11,"Ambos")+COUNTIFS('Entrega'!$B$6:$B$9,$A125,'Entrega'!$E$6:$E$9,"Víctor")+COUNTIFS('Entrega'!$B$6:$B$9,$A125,'Entrega'!$E$6:$E$9,"Ambos")+COUNTIFS('Defensa'!$B$6:$B$10,$A125,'Defensa'!$E$6:$E$10,"Víctor")+COUNTIFS('Defensa'!$B$6:$B$10,$A125,'Defensa'!$E$6:$E$10,"Ambos")</f>
        <v/>
      </c>
      <c r="G125" s="21">
        <f>COUNTIFS('S1'!$B$6:$B$32,$A125,'S1'!$E$6:$E$32,"Diego")+COUNTIFS('S1'!$B$6:$B$32,$A125,'S1'!$E$6:$E$32,"Ambos")+COUNTIFS('S2'!$B$6:$B$23,$A125,'S2'!$E$6:$E$23,"Diego")+COUNTIFS('S2'!$B$6:$B$23,$A125,'S2'!$E$6:$E$23,"Ambos")+COUNTIFS('S3'!$B$6:$B$24,$A125,'S3'!$E$6:$E$24,"Diego")+COUNTIFS('S3'!$B$6:$B$24,$A125,'S3'!$E$6:$E$24,"Ambos")+COUNTIFS('S4'!$B$6:$B$22,$A125,'S4'!$E$6:$E$22,"Diego")+COUNTIFS('S4'!$B$6:$B$22,$A125,'S4'!$E$6:$E$22,"Ambos")+COUNTIFS('S5'!$B$6:$B$20,$A125,'S5'!$E$6:$E$20,"Diego")+COUNTIFS('S5'!$B$6:$B$20,$A125,'S5'!$E$6:$E$20,"Ambos")+COUNTIFS('S6'!$B$6:$B$17,$A125,'S6'!$E$6:$E$17,"Diego")+COUNTIFS('S6'!$B$6:$B$17,$A125,'S6'!$E$6:$E$17,"Ambos")+COUNTIFS('S7'!$B$6:$B$19,$A125,'S7'!$E$6:$E$19,"Diego")+COUNTIFS('S7'!$B$6:$B$19,$A125,'S7'!$E$6:$E$19,"Ambos")+COUNTIFS('S8'!$B$6:$B$23,$A125,'S8'!$E$6:$E$23,"Diego")+COUNTIFS('S8'!$B$6:$B$23,$A125,'S8'!$E$6:$E$23,"Ambos")+COUNTIFS('S9'!$B$6:$B$15,$A125,'S9'!$E$6:$E$15,"Diego")+COUNTIFS('S9'!$B$6:$B$15,$A125,'S9'!$E$6:$E$15,"Ambos")+COUNTIFS('S10'!$B$6:$B$13,$A125,'S10'!$E$6:$E$13,"Diego")+COUNTIFS('S10'!$B$6:$B$13,$A125,'S10'!$E$6:$E$13,"Ambos")+COUNTIFS('Holgura'!$B$6:$B$11,$A125,'Holgura'!$E$6:$E$11,"Diego")+COUNTIFS('Holgura'!$B$6:$B$11,$A125,'Holgura'!$E$6:$E$11,"Ambos")+COUNTIFS('Entrega'!$B$6:$B$9,$A125,'Entrega'!$E$6:$E$9,"Diego")+COUNTIFS('Entrega'!$B$6:$B$9,$A125,'Entrega'!$E$6:$E$9,"Ambos")+COUNTIFS('Defensa'!$B$6:$B$10,$A125,'Defensa'!$E$6:$E$10,"Diego")+COUNTIFS('Defensa'!$B$6:$B$10,$A125,'Defensa'!$E$6:$E$10,"Ambos")</f>
        <v/>
      </c>
    </row>
    <row r="126">
      <c r="A126" s="25" t="n">
        <v>46428</v>
      </c>
      <c r="B126" s="26">
        <f>A126</f>
        <v/>
      </c>
      <c r="C126" s="21">
        <f>IF(WEEKDAY(A126,2)&gt;5,4,2)</f>
        <v/>
      </c>
      <c r="D126" s="21">
        <f>SUMIFS('S1'!$I$6:$I$32,'S1'!$B$6:$B$32,$A126,'S1'!$E$6:$E$32,"Víctor")+SUMIFS('S1'!$I$6:$I$32,'S1'!$B$6:$B$32,$A126,'S1'!$E$6:$E$32,"Ambos")+SUMIFS('S2'!$I$6:$I$23,'S2'!$B$6:$B$23,$A126,'S2'!$E$6:$E$23,"Víctor")+SUMIFS('S2'!$I$6:$I$23,'S2'!$B$6:$B$23,$A126,'S2'!$E$6:$E$23,"Ambos")+SUMIFS('S3'!$I$6:$I$24,'S3'!$B$6:$B$24,$A126,'S3'!$E$6:$E$24,"Víctor")+SUMIFS('S3'!$I$6:$I$24,'S3'!$B$6:$B$24,$A126,'S3'!$E$6:$E$24,"Ambos")+SUMIFS('S4'!$I$6:$I$22,'S4'!$B$6:$B$22,$A126,'S4'!$E$6:$E$22,"Víctor")+SUMIFS('S4'!$I$6:$I$22,'S4'!$B$6:$B$22,$A126,'S4'!$E$6:$E$22,"Ambos")+SUMIFS('S5'!$I$6:$I$20,'S5'!$B$6:$B$20,$A126,'S5'!$E$6:$E$20,"Víctor")+SUMIFS('S5'!$I$6:$I$20,'S5'!$B$6:$B$20,$A126,'S5'!$E$6:$E$20,"Ambos")+SUMIFS('S6'!$I$6:$I$17,'S6'!$B$6:$B$17,$A126,'S6'!$E$6:$E$17,"Víctor")+SUMIFS('S6'!$I$6:$I$17,'S6'!$B$6:$B$17,$A126,'S6'!$E$6:$E$17,"Ambos")+SUMIFS('S7'!$I$6:$I$19,'S7'!$B$6:$B$19,$A126,'S7'!$E$6:$E$19,"Víctor")+SUMIFS('S7'!$I$6:$I$19,'S7'!$B$6:$B$19,$A126,'S7'!$E$6:$E$19,"Ambos")+SUMIFS('S8'!$I$6:$I$23,'S8'!$B$6:$B$23,$A126,'S8'!$E$6:$E$23,"Víctor")+SUMIFS('S8'!$I$6:$I$23,'S8'!$B$6:$B$23,$A126,'S8'!$E$6:$E$23,"Ambos")+SUMIFS('S9'!$I$6:$I$15,'S9'!$B$6:$B$15,$A126,'S9'!$E$6:$E$15,"Víctor")+SUMIFS('S9'!$I$6:$I$15,'S9'!$B$6:$B$15,$A126,'S9'!$E$6:$E$15,"Ambos")+SUMIFS('S10'!$I$6:$I$13,'S10'!$B$6:$B$13,$A126,'S10'!$E$6:$E$13,"Víctor")+SUMIFS('S10'!$I$6:$I$13,'S10'!$B$6:$B$13,$A126,'S10'!$E$6:$E$13,"Ambos")+SUMIFS('Holgura'!$I$6:$I$11,'Holgura'!$B$6:$B$11,$A126,'Holgura'!$E$6:$E$11,"Víctor")+SUMIFS('Holgura'!$I$6:$I$11,'Holgura'!$B$6:$B$11,$A126,'Holgura'!$E$6:$E$11,"Ambos")+SUMIFS('Entrega'!$I$6:$I$9,'Entrega'!$B$6:$B$9,$A126,'Entrega'!$E$6:$E$9,"Víctor")+SUMIFS('Entrega'!$I$6:$I$9,'Entrega'!$B$6:$B$9,$A126,'Entrega'!$E$6:$E$9,"Ambos")+SUMIFS('Defensa'!$I$6:$I$10,'Defensa'!$B$6:$B$10,$A126,'Defensa'!$E$6:$E$10,"Víctor")+SUMIFS('Defensa'!$I$6:$I$10,'Defensa'!$B$6:$B$10,$A126,'Defensa'!$E$6:$E$10,"Ambos")</f>
        <v/>
      </c>
      <c r="E126" s="21">
        <f>SUMIFS('S1'!$I$6:$I$32,'S1'!$B$6:$B$32,$A126,'S1'!$E$6:$E$32,"Diego")+SUMIFS('S1'!$I$6:$I$32,'S1'!$B$6:$B$32,$A126,'S1'!$E$6:$E$32,"Ambos")+SUMIFS('S2'!$I$6:$I$23,'S2'!$B$6:$B$23,$A126,'S2'!$E$6:$E$23,"Diego")+SUMIFS('S2'!$I$6:$I$23,'S2'!$B$6:$B$23,$A126,'S2'!$E$6:$E$23,"Ambos")+SUMIFS('S3'!$I$6:$I$24,'S3'!$B$6:$B$24,$A126,'S3'!$E$6:$E$24,"Diego")+SUMIFS('S3'!$I$6:$I$24,'S3'!$B$6:$B$24,$A126,'S3'!$E$6:$E$24,"Ambos")+SUMIFS('S4'!$I$6:$I$22,'S4'!$B$6:$B$22,$A126,'S4'!$E$6:$E$22,"Diego")+SUMIFS('S4'!$I$6:$I$22,'S4'!$B$6:$B$22,$A126,'S4'!$E$6:$E$22,"Ambos")+SUMIFS('S5'!$I$6:$I$20,'S5'!$B$6:$B$20,$A126,'S5'!$E$6:$E$20,"Diego")+SUMIFS('S5'!$I$6:$I$20,'S5'!$B$6:$B$20,$A126,'S5'!$E$6:$E$20,"Ambos")+SUMIFS('S6'!$I$6:$I$17,'S6'!$B$6:$B$17,$A126,'S6'!$E$6:$E$17,"Diego")+SUMIFS('S6'!$I$6:$I$17,'S6'!$B$6:$B$17,$A126,'S6'!$E$6:$E$17,"Ambos")+SUMIFS('S7'!$I$6:$I$19,'S7'!$B$6:$B$19,$A126,'S7'!$E$6:$E$19,"Diego")+SUMIFS('S7'!$I$6:$I$19,'S7'!$B$6:$B$19,$A126,'S7'!$E$6:$E$19,"Ambos")+SUMIFS('S8'!$I$6:$I$23,'S8'!$B$6:$B$23,$A126,'S8'!$E$6:$E$23,"Diego")+SUMIFS('S8'!$I$6:$I$23,'S8'!$B$6:$B$23,$A126,'S8'!$E$6:$E$23,"Ambos")+SUMIFS('S9'!$I$6:$I$15,'S9'!$B$6:$B$15,$A126,'S9'!$E$6:$E$15,"Diego")+SUMIFS('S9'!$I$6:$I$15,'S9'!$B$6:$B$15,$A126,'S9'!$E$6:$E$15,"Ambos")+SUMIFS('S10'!$I$6:$I$13,'S10'!$B$6:$B$13,$A126,'S10'!$E$6:$E$13,"Diego")+SUMIFS('S10'!$I$6:$I$13,'S10'!$B$6:$B$13,$A126,'S10'!$E$6:$E$13,"Ambos")+SUMIFS('Holgura'!$I$6:$I$11,'Holgura'!$B$6:$B$11,$A126,'Holgura'!$E$6:$E$11,"Diego")+SUMIFS('Holgura'!$I$6:$I$11,'Holgura'!$B$6:$B$11,$A126,'Holgura'!$E$6:$E$11,"Ambos")+SUMIFS('Entrega'!$I$6:$I$9,'Entrega'!$B$6:$B$9,$A126,'Entrega'!$E$6:$E$9,"Diego")+SUMIFS('Entrega'!$I$6:$I$9,'Entrega'!$B$6:$B$9,$A126,'Entrega'!$E$6:$E$9,"Ambos")+SUMIFS('Defensa'!$I$6:$I$10,'Defensa'!$B$6:$B$10,$A126,'Defensa'!$E$6:$E$10,"Diego")+SUMIFS('Defensa'!$I$6:$I$10,'Defensa'!$B$6:$B$10,$A126,'Defensa'!$E$6:$E$10,"Ambos")</f>
        <v/>
      </c>
      <c r="F126" s="21">
        <f>COUNTIFS('S1'!$B$6:$B$32,$A126,'S1'!$E$6:$E$32,"Víctor")+COUNTIFS('S1'!$B$6:$B$32,$A126,'S1'!$E$6:$E$32,"Ambos")+COUNTIFS('S2'!$B$6:$B$23,$A126,'S2'!$E$6:$E$23,"Víctor")+COUNTIFS('S2'!$B$6:$B$23,$A126,'S2'!$E$6:$E$23,"Ambos")+COUNTIFS('S3'!$B$6:$B$24,$A126,'S3'!$E$6:$E$24,"Víctor")+COUNTIFS('S3'!$B$6:$B$24,$A126,'S3'!$E$6:$E$24,"Ambos")+COUNTIFS('S4'!$B$6:$B$22,$A126,'S4'!$E$6:$E$22,"Víctor")+COUNTIFS('S4'!$B$6:$B$22,$A126,'S4'!$E$6:$E$22,"Ambos")+COUNTIFS('S5'!$B$6:$B$20,$A126,'S5'!$E$6:$E$20,"Víctor")+COUNTIFS('S5'!$B$6:$B$20,$A126,'S5'!$E$6:$E$20,"Ambos")+COUNTIFS('S6'!$B$6:$B$17,$A126,'S6'!$E$6:$E$17,"Víctor")+COUNTIFS('S6'!$B$6:$B$17,$A126,'S6'!$E$6:$E$17,"Ambos")+COUNTIFS('S7'!$B$6:$B$19,$A126,'S7'!$E$6:$E$19,"Víctor")+COUNTIFS('S7'!$B$6:$B$19,$A126,'S7'!$E$6:$E$19,"Ambos")+COUNTIFS('S8'!$B$6:$B$23,$A126,'S8'!$E$6:$E$23,"Víctor")+COUNTIFS('S8'!$B$6:$B$23,$A126,'S8'!$E$6:$E$23,"Ambos")+COUNTIFS('S9'!$B$6:$B$15,$A126,'S9'!$E$6:$E$15,"Víctor")+COUNTIFS('S9'!$B$6:$B$15,$A126,'S9'!$E$6:$E$15,"Ambos")+COUNTIFS('S10'!$B$6:$B$13,$A126,'S10'!$E$6:$E$13,"Víctor")+COUNTIFS('S10'!$B$6:$B$13,$A126,'S10'!$E$6:$E$13,"Ambos")+COUNTIFS('Holgura'!$B$6:$B$11,$A126,'Holgura'!$E$6:$E$11,"Víctor")+COUNTIFS('Holgura'!$B$6:$B$11,$A126,'Holgura'!$E$6:$E$11,"Ambos")+COUNTIFS('Entrega'!$B$6:$B$9,$A126,'Entrega'!$E$6:$E$9,"Víctor")+COUNTIFS('Entrega'!$B$6:$B$9,$A126,'Entrega'!$E$6:$E$9,"Ambos")+COUNTIFS('Defensa'!$B$6:$B$10,$A126,'Defensa'!$E$6:$E$10,"Víctor")+COUNTIFS('Defensa'!$B$6:$B$10,$A126,'Defensa'!$E$6:$E$10,"Ambos")</f>
        <v/>
      </c>
      <c r="G126" s="21">
        <f>COUNTIFS('S1'!$B$6:$B$32,$A126,'S1'!$E$6:$E$32,"Diego")+COUNTIFS('S1'!$B$6:$B$32,$A126,'S1'!$E$6:$E$32,"Ambos")+COUNTIFS('S2'!$B$6:$B$23,$A126,'S2'!$E$6:$E$23,"Diego")+COUNTIFS('S2'!$B$6:$B$23,$A126,'S2'!$E$6:$E$23,"Ambos")+COUNTIFS('S3'!$B$6:$B$24,$A126,'S3'!$E$6:$E$24,"Diego")+COUNTIFS('S3'!$B$6:$B$24,$A126,'S3'!$E$6:$E$24,"Ambos")+COUNTIFS('S4'!$B$6:$B$22,$A126,'S4'!$E$6:$E$22,"Diego")+COUNTIFS('S4'!$B$6:$B$22,$A126,'S4'!$E$6:$E$22,"Ambos")+COUNTIFS('S5'!$B$6:$B$20,$A126,'S5'!$E$6:$E$20,"Diego")+COUNTIFS('S5'!$B$6:$B$20,$A126,'S5'!$E$6:$E$20,"Ambos")+COUNTIFS('S6'!$B$6:$B$17,$A126,'S6'!$E$6:$E$17,"Diego")+COUNTIFS('S6'!$B$6:$B$17,$A126,'S6'!$E$6:$E$17,"Ambos")+COUNTIFS('S7'!$B$6:$B$19,$A126,'S7'!$E$6:$E$19,"Diego")+COUNTIFS('S7'!$B$6:$B$19,$A126,'S7'!$E$6:$E$19,"Ambos")+COUNTIFS('S8'!$B$6:$B$23,$A126,'S8'!$E$6:$E$23,"Diego")+COUNTIFS('S8'!$B$6:$B$23,$A126,'S8'!$E$6:$E$23,"Ambos")+COUNTIFS('S9'!$B$6:$B$15,$A126,'S9'!$E$6:$E$15,"Diego")+COUNTIFS('S9'!$B$6:$B$15,$A126,'S9'!$E$6:$E$15,"Ambos")+COUNTIFS('S10'!$B$6:$B$13,$A126,'S10'!$E$6:$E$13,"Diego")+COUNTIFS('S10'!$B$6:$B$13,$A126,'S10'!$E$6:$E$13,"Ambos")+COUNTIFS('Holgura'!$B$6:$B$11,$A126,'Holgura'!$E$6:$E$11,"Diego")+COUNTIFS('Holgura'!$B$6:$B$11,$A126,'Holgura'!$E$6:$E$11,"Ambos")+COUNTIFS('Entrega'!$B$6:$B$9,$A126,'Entrega'!$E$6:$E$9,"Diego")+COUNTIFS('Entrega'!$B$6:$B$9,$A126,'Entrega'!$E$6:$E$9,"Ambos")+COUNTIFS('Defensa'!$B$6:$B$10,$A126,'Defensa'!$E$6:$E$10,"Diego")+COUNTIFS('Defensa'!$B$6:$B$10,$A126,'Defensa'!$E$6:$E$10,"Ambos")</f>
        <v/>
      </c>
    </row>
    <row r="127">
      <c r="A127" s="25" t="n">
        <v>46429</v>
      </c>
      <c r="B127" s="26">
        <f>A127</f>
        <v/>
      </c>
      <c r="C127" s="21">
        <f>IF(WEEKDAY(A127,2)&gt;5,4,2)</f>
        <v/>
      </c>
      <c r="D127" s="21">
        <f>SUMIFS('S1'!$I$6:$I$32,'S1'!$B$6:$B$32,$A127,'S1'!$E$6:$E$32,"Víctor")+SUMIFS('S1'!$I$6:$I$32,'S1'!$B$6:$B$32,$A127,'S1'!$E$6:$E$32,"Ambos")+SUMIFS('S2'!$I$6:$I$23,'S2'!$B$6:$B$23,$A127,'S2'!$E$6:$E$23,"Víctor")+SUMIFS('S2'!$I$6:$I$23,'S2'!$B$6:$B$23,$A127,'S2'!$E$6:$E$23,"Ambos")+SUMIFS('S3'!$I$6:$I$24,'S3'!$B$6:$B$24,$A127,'S3'!$E$6:$E$24,"Víctor")+SUMIFS('S3'!$I$6:$I$24,'S3'!$B$6:$B$24,$A127,'S3'!$E$6:$E$24,"Ambos")+SUMIFS('S4'!$I$6:$I$22,'S4'!$B$6:$B$22,$A127,'S4'!$E$6:$E$22,"Víctor")+SUMIFS('S4'!$I$6:$I$22,'S4'!$B$6:$B$22,$A127,'S4'!$E$6:$E$22,"Ambos")+SUMIFS('S5'!$I$6:$I$20,'S5'!$B$6:$B$20,$A127,'S5'!$E$6:$E$20,"Víctor")+SUMIFS('S5'!$I$6:$I$20,'S5'!$B$6:$B$20,$A127,'S5'!$E$6:$E$20,"Ambos")+SUMIFS('S6'!$I$6:$I$17,'S6'!$B$6:$B$17,$A127,'S6'!$E$6:$E$17,"Víctor")+SUMIFS('S6'!$I$6:$I$17,'S6'!$B$6:$B$17,$A127,'S6'!$E$6:$E$17,"Ambos")+SUMIFS('S7'!$I$6:$I$19,'S7'!$B$6:$B$19,$A127,'S7'!$E$6:$E$19,"Víctor")+SUMIFS('S7'!$I$6:$I$19,'S7'!$B$6:$B$19,$A127,'S7'!$E$6:$E$19,"Ambos")+SUMIFS('S8'!$I$6:$I$23,'S8'!$B$6:$B$23,$A127,'S8'!$E$6:$E$23,"Víctor")+SUMIFS('S8'!$I$6:$I$23,'S8'!$B$6:$B$23,$A127,'S8'!$E$6:$E$23,"Ambos")+SUMIFS('S9'!$I$6:$I$15,'S9'!$B$6:$B$15,$A127,'S9'!$E$6:$E$15,"Víctor")+SUMIFS('S9'!$I$6:$I$15,'S9'!$B$6:$B$15,$A127,'S9'!$E$6:$E$15,"Ambos")+SUMIFS('S10'!$I$6:$I$13,'S10'!$B$6:$B$13,$A127,'S10'!$E$6:$E$13,"Víctor")+SUMIFS('S10'!$I$6:$I$13,'S10'!$B$6:$B$13,$A127,'S10'!$E$6:$E$13,"Ambos")+SUMIFS('Holgura'!$I$6:$I$11,'Holgura'!$B$6:$B$11,$A127,'Holgura'!$E$6:$E$11,"Víctor")+SUMIFS('Holgura'!$I$6:$I$11,'Holgura'!$B$6:$B$11,$A127,'Holgura'!$E$6:$E$11,"Ambos")+SUMIFS('Entrega'!$I$6:$I$9,'Entrega'!$B$6:$B$9,$A127,'Entrega'!$E$6:$E$9,"Víctor")+SUMIFS('Entrega'!$I$6:$I$9,'Entrega'!$B$6:$B$9,$A127,'Entrega'!$E$6:$E$9,"Ambos")+SUMIFS('Defensa'!$I$6:$I$10,'Defensa'!$B$6:$B$10,$A127,'Defensa'!$E$6:$E$10,"Víctor")+SUMIFS('Defensa'!$I$6:$I$10,'Defensa'!$B$6:$B$10,$A127,'Defensa'!$E$6:$E$10,"Ambos")</f>
        <v/>
      </c>
      <c r="E127" s="21">
        <f>SUMIFS('S1'!$I$6:$I$32,'S1'!$B$6:$B$32,$A127,'S1'!$E$6:$E$32,"Diego")+SUMIFS('S1'!$I$6:$I$32,'S1'!$B$6:$B$32,$A127,'S1'!$E$6:$E$32,"Ambos")+SUMIFS('S2'!$I$6:$I$23,'S2'!$B$6:$B$23,$A127,'S2'!$E$6:$E$23,"Diego")+SUMIFS('S2'!$I$6:$I$23,'S2'!$B$6:$B$23,$A127,'S2'!$E$6:$E$23,"Ambos")+SUMIFS('S3'!$I$6:$I$24,'S3'!$B$6:$B$24,$A127,'S3'!$E$6:$E$24,"Diego")+SUMIFS('S3'!$I$6:$I$24,'S3'!$B$6:$B$24,$A127,'S3'!$E$6:$E$24,"Ambos")+SUMIFS('S4'!$I$6:$I$22,'S4'!$B$6:$B$22,$A127,'S4'!$E$6:$E$22,"Diego")+SUMIFS('S4'!$I$6:$I$22,'S4'!$B$6:$B$22,$A127,'S4'!$E$6:$E$22,"Ambos")+SUMIFS('S5'!$I$6:$I$20,'S5'!$B$6:$B$20,$A127,'S5'!$E$6:$E$20,"Diego")+SUMIFS('S5'!$I$6:$I$20,'S5'!$B$6:$B$20,$A127,'S5'!$E$6:$E$20,"Ambos")+SUMIFS('S6'!$I$6:$I$17,'S6'!$B$6:$B$17,$A127,'S6'!$E$6:$E$17,"Diego")+SUMIFS('S6'!$I$6:$I$17,'S6'!$B$6:$B$17,$A127,'S6'!$E$6:$E$17,"Ambos")+SUMIFS('S7'!$I$6:$I$19,'S7'!$B$6:$B$19,$A127,'S7'!$E$6:$E$19,"Diego")+SUMIFS('S7'!$I$6:$I$19,'S7'!$B$6:$B$19,$A127,'S7'!$E$6:$E$19,"Ambos")+SUMIFS('S8'!$I$6:$I$23,'S8'!$B$6:$B$23,$A127,'S8'!$E$6:$E$23,"Diego")+SUMIFS('S8'!$I$6:$I$23,'S8'!$B$6:$B$23,$A127,'S8'!$E$6:$E$23,"Ambos")+SUMIFS('S9'!$I$6:$I$15,'S9'!$B$6:$B$15,$A127,'S9'!$E$6:$E$15,"Diego")+SUMIFS('S9'!$I$6:$I$15,'S9'!$B$6:$B$15,$A127,'S9'!$E$6:$E$15,"Ambos")+SUMIFS('S10'!$I$6:$I$13,'S10'!$B$6:$B$13,$A127,'S10'!$E$6:$E$13,"Diego")+SUMIFS('S10'!$I$6:$I$13,'S10'!$B$6:$B$13,$A127,'S10'!$E$6:$E$13,"Ambos")+SUMIFS('Holgura'!$I$6:$I$11,'Holgura'!$B$6:$B$11,$A127,'Holgura'!$E$6:$E$11,"Diego")+SUMIFS('Holgura'!$I$6:$I$11,'Holgura'!$B$6:$B$11,$A127,'Holgura'!$E$6:$E$11,"Ambos")+SUMIFS('Entrega'!$I$6:$I$9,'Entrega'!$B$6:$B$9,$A127,'Entrega'!$E$6:$E$9,"Diego")+SUMIFS('Entrega'!$I$6:$I$9,'Entrega'!$B$6:$B$9,$A127,'Entrega'!$E$6:$E$9,"Ambos")+SUMIFS('Defensa'!$I$6:$I$10,'Defensa'!$B$6:$B$10,$A127,'Defensa'!$E$6:$E$10,"Diego")+SUMIFS('Defensa'!$I$6:$I$10,'Defensa'!$B$6:$B$10,$A127,'Defensa'!$E$6:$E$10,"Ambos")</f>
        <v/>
      </c>
      <c r="F127" s="21">
        <f>COUNTIFS('S1'!$B$6:$B$32,$A127,'S1'!$E$6:$E$32,"Víctor")+COUNTIFS('S1'!$B$6:$B$32,$A127,'S1'!$E$6:$E$32,"Ambos")+COUNTIFS('S2'!$B$6:$B$23,$A127,'S2'!$E$6:$E$23,"Víctor")+COUNTIFS('S2'!$B$6:$B$23,$A127,'S2'!$E$6:$E$23,"Ambos")+COUNTIFS('S3'!$B$6:$B$24,$A127,'S3'!$E$6:$E$24,"Víctor")+COUNTIFS('S3'!$B$6:$B$24,$A127,'S3'!$E$6:$E$24,"Ambos")+COUNTIFS('S4'!$B$6:$B$22,$A127,'S4'!$E$6:$E$22,"Víctor")+COUNTIFS('S4'!$B$6:$B$22,$A127,'S4'!$E$6:$E$22,"Ambos")+COUNTIFS('S5'!$B$6:$B$20,$A127,'S5'!$E$6:$E$20,"Víctor")+COUNTIFS('S5'!$B$6:$B$20,$A127,'S5'!$E$6:$E$20,"Ambos")+COUNTIFS('S6'!$B$6:$B$17,$A127,'S6'!$E$6:$E$17,"Víctor")+COUNTIFS('S6'!$B$6:$B$17,$A127,'S6'!$E$6:$E$17,"Ambos")+COUNTIFS('S7'!$B$6:$B$19,$A127,'S7'!$E$6:$E$19,"Víctor")+COUNTIFS('S7'!$B$6:$B$19,$A127,'S7'!$E$6:$E$19,"Ambos")+COUNTIFS('S8'!$B$6:$B$23,$A127,'S8'!$E$6:$E$23,"Víctor")+COUNTIFS('S8'!$B$6:$B$23,$A127,'S8'!$E$6:$E$23,"Ambos")+COUNTIFS('S9'!$B$6:$B$15,$A127,'S9'!$E$6:$E$15,"Víctor")+COUNTIFS('S9'!$B$6:$B$15,$A127,'S9'!$E$6:$E$15,"Ambos")+COUNTIFS('S10'!$B$6:$B$13,$A127,'S10'!$E$6:$E$13,"Víctor")+COUNTIFS('S10'!$B$6:$B$13,$A127,'S10'!$E$6:$E$13,"Ambos")+COUNTIFS('Holgura'!$B$6:$B$11,$A127,'Holgura'!$E$6:$E$11,"Víctor")+COUNTIFS('Holgura'!$B$6:$B$11,$A127,'Holgura'!$E$6:$E$11,"Ambos")+COUNTIFS('Entrega'!$B$6:$B$9,$A127,'Entrega'!$E$6:$E$9,"Víctor")+COUNTIFS('Entrega'!$B$6:$B$9,$A127,'Entrega'!$E$6:$E$9,"Ambos")+COUNTIFS('Defensa'!$B$6:$B$10,$A127,'Defensa'!$E$6:$E$10,"Víctor")+COUNTIFS('Defensa'!$B$6:$B$10,$A127,'Defensa'!$E$6:$E$10,"Ambos")</f>
        <v/>
      </c>
      <c r="G127" s="21">
        <f>COUNTIFS('S1'!$B$6:$B$32,$A127,'S1'!$E$6:$E$32,"Diego")+COUNTIFS('S1'!$B$6:$B$32,$A127,'S1'!$E$6:$E$32,"Ambos")+COUNTIFS('S2'!$B$6:$B$23,$A127,'S2'!$E$6:$E$23,"Diego")+COUNTIFS('S2'!$B$6:$B$23,$A127,'S2'!$E$6:$E$23,"Ambos")+COUNTIFS('S3'!$B$6:$B$24,$A127,'S3'!$E$6:$E$24,"Diego")+COUNTIFS('S3'!$B$6:$B$24,$A127,'S3'!$E$6:$E$24,"Ambos")+COUNTIFS('S4'!$B$6:$B$22,$A127,'S4'!$E$6:$E$22,"Diego")+COUNTIFS('S4'!$B$6:$B$22,$A127,'S4'!$E$6:$E$22,"Ambos")+COUNTIFS('S5'!$B$6:$B$20,$A127,'S5'!$E$6:$E$20,"Diego")+COUNTIFS('S5'!$B$6:$B$20,$A127,'S5'!$E$6:$E$20,"Ambos")+COUNTIFS('S6'!$B$6:$B$17,$A127,'S6'!$E$6:$E$17,"Diego")+COUNTIFS('S6'!$B$6:$B$17,$A127,'S6'!$E$6:$E$17,"Ambos")+COUNTIFS('S7'!$B$6:$B$19,$A127,'S7'!$E$6:$E$19,"Diego")+COUNTIFS('S7'!$B$6:$B$19,$A127,'S7'!$E$6:$E$19,"Ambos")+COUNTIFS('S8'!$B$6:$B$23,$A127,'S8'!$E$6:$E$23,"Diego")+COUNTIFS('S8'!$B$6:$B$23,$A127,'S8'!$E$6:$E$23,"Ambos")+COUNTIFS('S9'!$B$6:$B$15,$A127,'S9'!$E$6:$E$15,"Diego")+COUNTIFS('S9'!$B$6:$B$15,$A127,'S9'!$E$6:$E$15,"Ambos")+COUNTIFS('S10'!$B$6:$B$13,$A127,'S10'!$E$6:$E$13,"Diego")+COUNTIFS('S10'!$B$6:$B$13,$A127,'S10'!$E$6:$E$13,"Ambos")+COUNTIFS('Holgura'!$B$6:$B$11,$A127,'Holgura'!$E$6:$E$11,"Diego")+COUNTIFS('Holgura'!$B$6:$B$11,$A127,'Holgura'!$E$6:$E$11,"Ambos")+COUNTIFS('Entrega'!$B$6:$B$9,$A127,'Entrega'!$E$6:$E$9,"Diego")+COUNTIFS('Entrega'!$B$6:$B$9,$A127,'Entrega'!$E$6:$E$9,"Ambos")+COUNTIFS('Defensa'!$B$6:$B$10,$A127,'Defensa'!$E$6:$E$10,"Diego")+COUNTIFS('Defensa'!$B$6:$B$10,$A127,'Defensa'!$E$6:$E$10,"Ambos")</f>
        <v/>
      </c>
    </row>
    <row r="128">
      <c r="A128" s="25" t="n">
        <v>46430</v>
      </c>
      <c r="B128" s="26">
        <f>A128</f>
        <v/>
      </c>
      <c r="C128" s="21">
        <f>IF(WEEKDAY(A128,2)&gt;5,4,2)</f>
        <v/>
      </c>
      <c r="D128" s="21">
        <f>SUMIFS('S1'!$I$6:$I$32,'S1'!$B$6:$B$32,$A128,'S1'!$E$6:$E$32,"Víctor")+SUMIFS('S1'!$I$6:$I$32,'S1'!$B$6:$B$32,$A128,'S1'!$E$6:$E$32,"Ambos")+SUMIFS('S2'!$I$6:$I$23,'S2'!$B$6:$B$23,$A128,'S2'!$E$6:$E$23,"Víctor")+SUMIFS('S2'!$I$6:$I$23,'S2'!$B$6:$B$23,$A128,'S2'!$E$6:$E$23,"Ambos")+SUMIFS('S3'!$I$6:$I$24,'S3'!$B$6:$B$24,$A128,'S3'!$E$6:$E$24,"Víctor")+SUMIFS('S3'!$I$6:$I$24,'S3'!$B$6:$B$24,$A128,'S3'!$E$6:$E$24,"Ambos")+SUMIFS('S4'!$I$6:$I$22,'S4'!$B$6:$B$22,$A128,'S4'!$E$6:$E$22,"Víctor")+SUMIFS('S4'!$I$6:$I$22,'S4'!$B$6:$B$22,$A128,'S4'!$E$6:$E$22,"Ambos")+SUMIFS('S5'!$I$6:$I$20,'S5'!$B$6:$B$20,$A128,'S5'!$E$6:$E$20,"Víctor")+SUMIFS('S5'!$I$6:$I$20,'S5'!$B$6:$B$20,$A128,'S5'!$E$6:$E$20,"Ambos")+SUMIFS('S6'!$I$6:$I$17,'S6'!$B$6:$B$17,$A128,'S6'!$E$6:$E$17,"Víctor")+SUMIFS('S6'!$I$6:$I$17,'S6'!$B$6:$B$17,$A128,'S6'!$E$6:$E$17,"Ambos")+SUMIFS('S7'!$I$6:$I$19,'S7'!$B$6:$B$19,$A128,'S7'!$E$6:$E$19,"Víctor")+SUMIFS('S7'!$I$6:$I$19,'S7'!$B$6:$B$19,$A128,'S7'!$E$6:$E$19,"Ambos")+SUMIFS('S8'!$I$6:$I$23,'S8'!$B$6:$B$23,$A128,'S8'!$E$6:$E$23,"Víctor")+SUMIFS('S8'!$I$6:$I$23,'S8'!$B$6:$B$23,$A128,'S8'!$E$6:$E$23,"Ambos")+SUMIFS('S9'!$I$6:$I$15,'S9'!$B$6:$B$15,$A128,'S9'!$E$6:$E$15,"Víctor")+SUMIFS('S9'!$I$6:$I$15,'S9'!$B$6:$B$15,$A128,'S9'!$E$6:$E$15,"Ambos")+SUMIFS('S10'!$I$6:$I$13,'S10'!$B$6:$B$13,$A128,'S10'!$E$6:$E$13,"Víctor")+SUMIFS('S10'!$I$6:$I$13,'S10'!$B$6:$B$13,$A128,'S10'!$E$6:$E$13,"Ambos")+SUMIFS('Holgura'!$I$6:$I$11,'Holgura'!$B$6:$B$11,$A128,'Holgura'!$E$6:$E$11,"Víctor")+SUMIFS('Holgura'!$I$6:$I$11,'Holgura'!$B$6:$B$11,$A128,'Holgura'!$E$6:$E$11,"Ambos")+SUMIFS('Entrega'!$I$6:$I$9,'Entrega'!$B$6:$B$9,$A128,'Entrega'!$E$6:$E$9,"Víctor")+SUMIFS('Entrega'!$I$6:$I$9,'Entrega'!$B$6:$B$9,$A128,'Entrega'!$E$6:$E$9,"Ambos")+SUMIFS('Defensa'!$I$6:$I$10,'Defensa'!$B$6:$B$10,$A128,'Defensa'!$E$6:$E$10,"Víctor")+SUMIFS('Defensa'!$I$6:$I$10,'Defensa'!$B$6:$B$10,$A128,'Defensa'!$E$6:$E$10,"Ambos")</f>
        <v/>
      </c>
      <c r="E128" s="21">
        <f>SUMIFS('S1'!$I$6:$I$32,'S1'!$B$6:$B$32,$A128,'S1'!$E$6:$E$32,"Diego")+SUMIFS('S1'!$I$6:$I$32,'S1'!$B$6:$B$32,$A128,'S1'!$E$6:$E$32,"Ambos")+SUMIFS('S2'!$I$6:$I$23,'S2'!$B$6:$B$23,$A128,'S2'!$E$6:$E$23,"Diego")+SUMIFS('S2'!$I$6:$I$23,'S2'!$B$6:$B$23,$A128,'S2'!$E$6:$E$23,"Ambos")+SUMIFS('S3'!$I$6:$I$24,'S3'!$B$6:$B$24,$A128,'S3'!$E$6:$E$24,"Diego")+SUMIFS('S3'!$I$6:$I$24,'S3'!$B$6:$B$24,$A128,'S3'!$E$6:$E$24,"Ambos")+SUMIFS('S4'!$I$6:$I$22,'S4'!$B$6:$B$22,$A128,'S4'!$E$6:$E$22,"Diego")+SUMIFS('S4'!$I$6:$I$22,'S4'!$B$6:$B$22,$A128,'S4'!$E$6:$E$22,"Ambos")+SUMIFS('S5'!$I$6:$I$20,'S5'!$B$6:$B$20,$A128,'S5'!$E$6:$E$20,"Diego")+SUMIFS('S5'!$I$6:$I$20,'S5'!$B$6:$B$20,$A128,'S5'!$E$6:$E$20,"Ambos")+SUMIFS('S6'!$I$6:$I$17,'S6'!$B$6:$B$17,$A128,'S6'!$E$6:$E$17,"Diego")+SUMIFS('S6'!$I$6:$I$17,'S6'!$B$6:$B$17,$A128,'S6'!$E$6:$E$17,"Ambos")+SUMIFS('S7'!$I$6:$I$19,'S7'!$B$6:$B$19,$A128,'S7'!$E$6:$E$19,"Diego")+SUMIFS('S7'!$I$6:$I$19,'S7'!$B$6:$B$19,$A128,'S7'!$E$6:$E$19,"Ambos")+SUMIFS('S8'!$I$6:$I$23,'S8'!$B$6:$B$23,$A128,'S8'!$E$6:$E$23,"Diego")+SUMIFS('S8'!$I$6:$I$23,'S8'!$B$6:$B$23,$A128,'S8'!$E$6:$E$23,"Ambos")+SUMIFS('S9'!$I$6:$I$15,'S9'!$B$6:$B$15,$A128,'S9'!$E$6:$E$15,"Diego")+SUMIFS('S9'!$I$6:$I$15,'S9'!$B$6:$B$15,$A128,'S9'!$E$6:$E$15,"Ambos")+SUMIFS('S10'!$I$6:$I$13,'S10'!$B$6:$B$13,$A128,'S10'!$E$6:$E$13,"Diego")+SUMIFS('S10'!$I$6:$I$13,'S10'!$B$6:$B$13,$A128,'S10'!$E$6:$E$13,"Ambos")+SUMIFS('Holgura'!$I$6:$I$11,'Holgura'!$B$6:$B$11,$A128,'Holgura'!$E$6:$E$11,"Diego")+SUMIFS('Holgura'!$I$6:$I$11,'Holgura'!$B$6:$B$11,$A128,'Holgura'!$E$6:$E$11,"Ambos")+SUMIFS('Entrega'!$I$6:$I$9,'Entrega'!$B$6:$B$9,$A128,'Entrega'!$E$6:$E$9,"Diego")+SUMIFS('Entrega'!$I$6:$I$9,'Entrega'!$B$6:$B$9,$A128,'Entrega'!$E$6:$E$9,"Ambos")+SUMIFS('Defensa'!$I$6:$I$10,'Defensa'!$B$6:$B$10,$A128,'Defensa'!$E$6:$E$10,"Diego")+SUMIFS('Defensa'!$I$6:$I$10,'Defensa'!$B$6:$B$10,$A128,'Defensa'!$E$6:$E$10,"Ambos")</f>
        <v/>
      </c>
      <c r="F128" s="21">
        <f>COUNTIFS('S1'!$B$6:$B$32,$A128,'S1'!$E$6:$E$32,"Víctor")+COUNTIFS('S1'!$B$6:$B$32,$A128,'S1'!$E$6:$E$32,"Ambos")+COUNTIFS('S2'!$B$6:$B$23,$A128,'S2'!$E$6:$E$23,"Víctor")+COUNTIFS('S2'!$B$6:$B$23,$A128,'S2'!$E$6:$E$23,"Ambos")+COUNTIFS('S3'!$B$6:$B$24,$A128,'S3'!$E$6:$E$24,"Víctor")+COUNTIFS('S3'!$B$6:$B$24,$A128,'S3'!$E$6:$E$24,"Ambos")+COUNTIFS('S4'!$B$6:$B$22,$A128,'S4'!$E$6:$E$22,"Víctor")+COUNTIFS('S4'!$B$6:$B$22,$A128,'S4'!$E$6:$E$22,"Ambos")+COUNTIFS('S5'!$B$6:$B$20,$A128,'S5'!$E$6:$E$20,"Víctor")+COUNTIFS('S5'!$B$6:$B$20,$A128,'S5'!$E$6:$E$20,"Ambos")+COUNTIFS('S6'!$B$6:$B$17,$A128,'S6'!$E$6:$E$17,"Víctor")+COUNTIFS('S6'!$B$6:$B$17,$A128,'S6'!$E$6:$E$17,"Ambos")+COUNTIFS('S7'!$B$6:$B$19,$A128,'S7'!$E$6:$E$19,"Víctor")+COUNTIFS('S7'!$B$6:$B$19,$A128,'S7'!$E$6:$E$19,"Ambos")+COUNTIFS('S8'!$B$6:$B$23,$A128,'S8'!$E$6:$E$23,"Víctor")+COUNTIFS('S8'!$B$6:$B$23,$A128,'S8'!$E$6:$E$23,"Ambos")+COUNTIFS('S9'!$B$6:$B$15,$A128,'S9'!$E$6:$E$15,"Víctor")+COUNTIFS('S9'!$B$6:$B$15,$A128,'S9'!$E$6:$E$15,"Ambos")+COUNTIFS('S10'!$B$6:$B$13,$A128,'S10'!$E$6:$E$13,"Víctor")+COUNTIFS('S10'!$B$6:$B$13,$A128,'S10'!$E$6:$E$13,"Ambos")+COUNTIFS('Holgura'!$B$6:$B$11,$A128,'Holgura'!$E$6:$E$11,"Víctor")+COUNTIFS('Holgura'!$B$6:$B$11,$A128,'Holgura'!$E$6:$E$11,"Ambos")+COUNTIFS('Entrega'!$B$6:$B$9,$A128,'Entrega'!$E$6:$E$9,"Víctor")+COUNTIFS('Entrega'!$B$6:$B$9,$A128,'Entrega'!$E$6:$E$9,"Ambos")+COUNTIFS('Defensa'!$B$6:$B$10,$A128,'Defensa'!$E$6:$E$10,"Víctor")+COUNTIFS('Defensa'!$B$6:$B$10,$A128,'Defensa'!$E$6:$E$10,"Ambos")</f>
        <v/>
      </c>
      <c r="G128" s="21">
        <f>COUNTIFS('S1'!$B$6:$B$32,$A128,'S1'!$E$6:$E$32,"Diego")+COUNTIFS('S1'!$B$6:$B$32,$A128,'S1'!$E$6:$E$32,"Ambos")+COUNTIFS('S2'!$B$6:$B$23,$A128,'S2'!$E$6:$E$23,"Diego")+COUNTIFS('S2'!$B$6:$B$23,$A128,'S2'!$E$6:$E$23,"Ambos")+COUNTIFS('S3'!$B$6:$B$24,$A128,'S3'!$E$6:$E$24,"Diego")+COUNTIFS('S3'!$B$6:$B$24,$A128,'S3'!$E$6:$E$24,"Ambos")+COUNTIFS('S4'!$B$6:$B$22,$A128,'S4'!$E$6:$E$22,"Diego")+COUNTIFS('S4'!$B$6:$B$22,$A128,'S4'!$E$6:$E$22,"Ambos")+COUNTIFS('S5'!$B$6:$B$20,$A128,'S5'!$E$6:$E$20,"Diego")+COUNTIFS('S5'!$B$6:$B$20,$A128,'S5'!$E$6:$E$20,"Ambos")+COUNTIFS('S6'!$B$6:$B$17,$A128,'S6'!$E$6:$E$17,"Diego")+COUNTIFS('S6'!$B$6:$B$17,$A128,'S6'!$E$6:$E$17,"Ambos")+COUNTIFS('S7'!$B$6:$B$19,$A128,'S7'!$E$6:$E$19,"Diego")+COUNTIFS('S7'!$B$6:$B$19,$A128,'S7'!$E$6:$E$19,"Ambos")+COUNTIFS('S8'!$B$6:$B$23,$A128,'S8'!$E$6:$E$23,"Diego")+COUNTIFS('S8'!$B$6:$B$23,$A128,'S8'!$E$6:$E$23,"Ambos")+COUNTIFS('S9'!$B$6:$B$15,$A128,'S9'!$E$6:$E$15,"Diego")+COUNTIFS('S9'!$B$6:$B$15,$A128,'S9'!$E$6:$E$15,"Ambos")+COUNTIFS('S10'!$B$6:$B$13,$A128,'S10'!$E$6:$E$13,"Diego")+COUNTIFS('S10'!$B$6:$B$13,$A128,'S10'!$E$6:$E$13,"Ambos")+COUNTIFS('Holgura'!$B$6:$B$11,$A128,'Holgura'!$E$6:$E$11,"Diego")+COUNTIFS('Holgura'!$B$6:$B$11,$A128,'Holgura'!$E$6:$E$11,"Ambos")+COUNTIFS('Entrega'!$B$6:$B$9,$A128,'Entrega'!$E$6:$E$9,"Diego")+COUNTIFS('Entrega'!$B$6:$B$9,$A128,'Entrega'!$E$6:$E$9,"Ambos")+COUNTIFS('Defensa'!$B$6:$B$10,$A128,'Defensa'!$E$6:$E$10,"Diego")+COUNTIFS('Defensa'!$B$6:$B$10,$A128,'Defensa'!$E$6:$E$10,"Ambos")</f>
        <v/>
      </c>
    </row>
  </sheetData>
  <conditionalFormatting sqref="D5:E128">
    <cfRule type="expression" priority="1" dxfId="0">
      <formula>D5&gt;$C5</formula>
    </cfRule>
  </conditionalFormatting>
  <conditionalFormatting sqref="F5:G128">
    <cfRule type="expression" priority="2" dxfId="0">
      <formula>F5&gt;4</formula>
    </cfRule>
  </conditionalFormatting>
  <conditionalFormatting sqref="A5:G128">
    <cfRule type="expression" priority="3" dxfId="4">
      <formula>WEEKDAY($A5,2)&gt;5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Sprint 2 · 19–25 oct · Redactar capítulos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Primeros borradores de los capítulos 1–3; Diego analiza los datos y dibuja el proceso actual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IFERROR(COUNTIF(K6:K23,"Hecho")/(COUNTA(D6:D23)-COUNTIF(K6:K23,"Cancelado")),0)</f>
        <v/>
      </c>
      <c r="D3" s="13">
        <f>"Víctor: "&amp;TEXT(IFERROR((COUNTIFS(E6:E23,"Víctor",K6:K23,"Hecho")+COUNTIFS(E6:E23,"Ambos",K6:K23,"Hecho"))/(COUNTIF(E6:E23,"Víctor")+COUNTIF(E6:E23,"Ambos")),0),"0%")&amp;"   ·   Diego: "&amp;TEXT(IFERROR((COUNTIFS(E6:E23,"Diego",K6:K23,"Hecho")+COUNTIFS(E6:E23,"Ambos",K6:K23,"Hecho"))/(COUNTIF(E6:E23,"Diego")+COUNTIF(E6:E23,"Ambos")),0),"0%")&amp;"   ·   Horas: "&amp;TEXT(SUM(I6:I23),"0.0")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S2-T01</t>
        </is>
      </c>
      <c r="B6" s="22" t="n">
        <v>46314</v>
      </c>
      <c r="C6" s="23">
        <f>B6</f>
        <v/>
      </c>
      <c r="D6" s="15" t="inlineStr">
        <is>
          <t>Escribir el capítulo 1, parte 1 (problema y evidencias), para tener el primer borrador</t>
        </is>
      </c>
      <c r="E6" s="15" t="inlineStr">
        <is>
          <t>Víctor</t>
        </is>
      </c>
      <c r="F6" s="15" t="inlineStr">
        <is>
          <t>06_Capitulos/</t>
        </is>
      </c>
      <c r="G6" s="15" t="inlineStr">
        <is>
          <t>Cap1 v0.1 (primera mitad)</t>
        </is>
      </c>
      <c r="H6" s="15" t="inlineStr">
        <is>
          <t>Cada cifra enlazada a su ficha verificada</t>
        </is>
      </c>
      <c r="I6" s="24" t="n">
        <v>2</v>
      </c>
      <c r="J6" s="27" t="n">
        <v>46315</v>
      </c>
      <c r="K6" s="15" t="inlineStr">
        <is>
          <t>Hecho</t>
        </is>
      </c>
      <c r="L6" s="15">
        <f>IF(K6="Cancelado","",IF(J6&lt;&gt;"",J6-B6,IF(AND(K6&lt;&gt;"Hecho",TODAY()&gt;B6),TODAY()-B6,0)))</f>
        <v/>
      </c>
      <c r="M6" s="15" t="inlineStr">
        <is>
          <t>S2-01 (#13)</t>
        </is>
      </c>
      <c r="N6" s="15" t="inlineStr">
        <is>
          <t>Bloque doble con: bajar a mano los PDF de la matriz (Oldroyd, Pollitt, Galan, Nyqvist, Lewis y Sauro, Auernhammer) → Claude los verifica · 19-oct: Cap. I parte 1 v0.1 hecha por Claude (control de cambios); Víctor revisa. PDF a mano: esta noche · 20-oct: Víctor aprobó la v0.1; v0.2 en 06_Capitulos/2026-10-20_Cap1_Introduccion_p1_v0.2.docx</t>
        </is>
      </c>
    </row>
    <row r="7">
      <c r="A7" s="15" t="inlineStr">
        <is>
          <t>S2-T02</t>
        </is>
      </c>
      <c r="B7" s="22" t="n">
        <v>46314</v>
      </c>
      <c r="C7" s="23">
        <f>B7</f>
        <v/>
      </c>
      <c r="D7" s="15" t="inlineStr">
        <is>
          <t>Analizar los datos de campo (tablas y gráficos simples), para calcular la línea base</t>
        </is>
      </c>
      <c r="E7" s="15" t="inlineStr">
        <is>
          <t>Diego</t>
        </is>
      </c>
      <c r="F7" s="15" t="inlineStr">
        <is>
          <t>05_Datos_Campo/LineaBase_2026-10/</t>
        </is>
      </c>
      <c r="G7" s="15" t="inlineStr">
        <is>
          <t>05_Datos_Campo/LineaBase_2026-10/analisis/ (tablas y script)</t>
        </is>
      </c>
      <c r="H7" s="15" t="inlineStr">
        <is>
          <t>Tablas de M1–M4 y M6</t>
        </is>
      </c>
      <c r="I7" s="24" t="n">
        <v>2</v>
      </c>
      <c r="J7" s="22" t="n"/>
      <c r="K7" s="15" t="inlineStr">
        <is>
          <t>Movido</t>
        </is>
      </c>
      <c r="L7" s="15">
        <f>IF(K7="Cancelado","",IF(J7&lt;&gt;"",J7-B7,IF(AND(K7&lt;&gt;"Hecho",TODAY()&gt;B7),TODAY()-B7,0)))</f>
        <v/>
      </c>
      <c r="M7" s="15" t="inlineStr">
        <is>
          <t>S2-04 (#16)</t>
        </is>
      </c>
      <c r="N7" s="15" t="inlineStr">
        <is>
          <t>Depende del campo. Mientras tanto Diego sigue con lo movido del S1 (IA_DIEGO.md) · 27-oct: bloqueada, no hay datos de campo; copia en S4-T17 (reprogramada 27-oct)</t>
        </is>
      </c>
    </row>
    <row r="8">
      <c r="A8" s="15" t="inlineStr">
        <is>
          <t>S2-T03</t>
        </is>
      </c>
      <c r="B8" s="22" t="n">
        <v>46315</v>
      </c>
      <c r="C8" s="23">
        <f>B8</f>
        <v/>
      </c>
      <c r="D8" s="15" t="inlineStr">
        <is>
          <t>Escribir el capítulo 1, parte 2 (justificación y objetivos)</t>
        </is>
      </c>
      <c r="E8" s="15" t="inlineStr">
        <is>
          <t>Víctor</t>
        </is>
      </c>
      <c r="F8" s="15" t="inlineStr">
        <is>
          <t>06_Capitulos/</t>
        </is>
      </c>
      <c r="G8" s="15" t="inlineStr">
        <is>
          <t>06_Capitulos/2026-10-20_Cap1_Problema_v0.1.docx</t>
        </is>
      </c>
      <c r="H8" s="15" t="inlineStr">
        <is>
          <t>Capítulo completo, revisado una vez</t>
        </is>
      </c>
      <c r="I8" s="24" t="n">
        <v>2</v>
      </c>
      <c r="J8" s="27" t="n">
        <v>46315</v>
      </c>
      <c r="K8" s="15" t="inlineStr">
        <is>
          <t>Hecho</t>
        </is>
      </c>
      <c r="L8" s="15">
        <f>IF(K8="Cancelado","",IF(J8&lt;&gt;"",J8-B8,IF(AND(K8&lt;&gt;"Hecho",TODAY()&gt;B8),TODAY()-B8,0)))</f>
        <v/>
      </c>
      <c r="M8" s="15" t="inlineStr">
        <is>
          <t>S2-01 (#13)</t>
        </is>
      </c>
      <c r="N8" s="15" t="inlineStr">
        <is>
          <t>Bloque doble con: fuentes de CRM A21–A27 (Claude busca y verifica, Víctor revisa) · Adelantada al 19-oct: Cap. I parte 2 v0.1 (justificación, objetivos, metas, alcance); Víctor revisa · 20-oct: Víctor aprobó la v0.1; v0.2 con vacíos A28/A29 documentados (2026-10-20_Cap1_Introduccion_p2_v0.2.docx)</t>
        </is>
      </c>
    </row>
    <row r="9">
      <c r="A9" s="15" t="inlineStr">
        <is>
          <t>S2-T04</t>
        </is>
      </c>
      <c r="B9" s="22" t="n">
        <v>46315</v>
      </c>
      <c r="C9" s="23">
        <f>B9</f>
        <v/>
      </c>
      <c r="D9" s="15" t="inlineStr">
        <is>
          <t>Terminar el análisis de datos y escribir lo que muestran, en lenguaje simple</t>
        </is>
      </c>
      <c r="E9" s="15" t="inlineStr">
        <is>
          <t>Diego</t>
        </is>
      </c>
      <c r="F9" s="15" t="inlineStr">
        <is>
          <t>05_Datos_Campo/LineaBase_2026-10/</t>
        </is>
      </c>
      <c r="G9" s="15" t="inlineStr">
        <is>
          <t>05_Datos_Campo/LineaBase_2026-10/analisis/2026-10-20_Resultados_LineaBase_v0.1.md</t>
        </is>
      </c>
      <c r="H9" s="15" t="inlineStr">
        <is>
          <t>Víctor entiende cada número</t>
        </is>
      </c>
      <c r="I9" s="24" t="n">
        <v>2</v>
      </c>
      <c r="J9" s="22" t="n"/>
      <c r="K9" s="15" t="inlineStr">
        <is>
          <t>Movido</t>
        </is>
      </c>
      <c r="L9" s="15">
        <f>IF(K9="Cancelado","",IF(J9&lt;&gt;"",J9-B9,IF(AND(K9&lt;&gt;"Hecho",TODAY()&gt;B9),TODAY()-B9,0)))</f>
        <v/>
      </c>
      <c r="M9" s="15" t="inlineStr">
        <is>
          <t>S2-04 (#16)</t>
        </is>
      </c>
      <c r="N9" s="15" t="inlineStr">
        <is>
          <t>Depende del campo · 27-oct: bloqueada, no hay datos de campo; copia en S4-T17 (reprogramada 27-oct)</t>
        </is>
      </c>
    </row>
    <row r="10">
      <c r="A10" s="15" t="inlineStr">
        <is>
          <t>S2-T05</t>
        </is>
      </c>
      <c r="B10" s="22" t="n">
        <v>46316</v>
      </c>
      <c r="C10" s="23">
        <f>B10</f>
        <v/>
      </c>
      <c r="D10" s="15" t="inlineStr">
        <is>
          <t>Escribir el capítulo 2, parte 1 (CRM, tiempo de respuesta, gestión del conocimiento)</t>
        </is>
      </c>
      <c r="E10" s="15" t="inlineStr">
        <is>
          <t>Víctor</t>
        </is>
      </c>
      <c r="F10" s="15" t="inlineStr">
        <is>
          <t>06_Capitulos/</t>
        </is>
      </c>
      <c r="G10" s="15" t="inlineStr">
        <is>
          <t>Cap2 v0.1 (primera mitad)</t>
        </is>
      </c>
      <c r="H10" s="15" t="inlineStr">
        <is>
          <t>Solo fuentes verificadas</t>
        </is>
      </c>
      <c r="I10" s="24" t="n">
        <v>2</v>
      </c>
      <c r="J10" s="27" t="n">
        <v>46315</v>
      </c>
      <c r="K10" s="15" t="inlineStr">
        <is>
          <t>Hecho</t>
        </is>
      </c>
      <c r="L10" s="15">
        <f>IF(K10="Cancelado","",IF(J10&lt;&gt;"",J10-B10,IF(AND(K10&lt;&gt;"Hecho",TODAY()&gt;B10),TODAY()-B10,0)))</f>
        <v/>
      </c>
      <c r="M10" s="15" t="inlineStr">
        <is>
          <t>S2-02 (#14)</t>
        </is>
      </c>
      <c r="N10" s="15" t="inlineStr">
        <is>
          <t>Bloque doble con: censo y métodos A40–A41 (biblioteca UPS: Hernández-Sampieri y Mendoza, 2018) · Adelantada al 19-oct: Cap. II v0.1 con lo verificado (7 fuentes nuevas). Falta CRM móvil (A21–A25) y clásicos de KM · 20-oct: Víctor aprobó la v0.1; v0.2 con TEAMSLASH como antecedente propio (DEC-17)</t>
        </is>
      </c>
    </row>
    <row r="11">
      <c r="A11" s="15" t="inlineStr">
        <is>
          <t>S2-T06</t>
        </is>
      </c>
      <c r="B11" s="22" t="n">
        <v>46316</v>
      </c>
      <c r="C11" s="23">
        <f>B11</f>
        <v/>
      </c>
      <c r="D11" s="15" t="inlineStr">
        <is>
          <t>Dibujar el proceso actual (AS-IS) en BPMN con lo dicho en las entrevistas</t>
        </is>
      </c>
      <c r="E11" s="15" t="inlineStr">
        <is>
          <t>Diego</t>
        </is>
      </c>
      <c r="F11" s="15" t="inlineStr">
        <is>
          <t>07_Flujos_Diseno/</t>
        </is>
      </c>
      <c r="G11" s="15" t="inlineStr">
        <is>
          <t>AS-IS v0.1 (borrador)</t>
        </is>
      </c>
      <c r="H11" s="15" t="inlineStr">
        <is>
          <t>Cada paso tiene quién lo hace</t>
        </is>
      </c>
      <c r="I11" s="24" t="n">
        <v>2</v>
      </c>
      <c r="J11" s="22" t="n">
        <v>46320</v>
      </c>
      <c r="K11" s="15" t="inlineStr">
        <is>
          <t>Hecho</t>
        </is>
      </c>
      <c r="L11" s="15">
        <f>IF(K11="Cancelado","",IF(J11&lt;&gt;"",J11-B11,IF(AND(K11&lt;&gt;"Hecho",TODAY()&gt;B11),TODAY()-B11,0)))</f>
        <v/>
      </c>
      <c r="M11" s="15" t="inlineStr">
        <is>
          <t>S2-05 (#17)</t>
        </is>
      </c>
      <c r="N11" s="15" t="inlineStr">
        <is>
          <t>Empezar el borrador con los documentos que hay (informe final del 22-jul y diagnóstico) y completarlo con las entrevistas cuando haya campo · 25-oct: AS-IS v0.1 (.bpmn, .png y .md) con el Informe Final del 22-jul; borrador sin validar en campo</t>
        </is>
      </c>
    </row>
    <row r="12">
      <c r="A12" s="15" t="inlineStr">
        <is>
          <t>S2-T07</t>
        </is>
      </c>
      <c r="B12" s="22" t="n">
        <v>46317</v>
      </c>
      <c r="C12" s="23">
        <f>B12</f>
        <v/>
      </c>
      <c r="D12" s="15" t="inlineStr">
        <is>
          <t>Escribir el capítulo 2, parte 2 (IA, RAG, normativa)</t>
        </is>
      </c>
      <c r="E12" s="15" t="inlineStr">
        <is>
          <t>Víctor</t>
        </is>
      </c>
      <c r="F12" s="15" t="inlineStr">
        <is>
          <t>06_Capitulos/</t>
        </is>
      </c>
      <c r="G12" s="15" t="inlineStr">
        <is>
          <t>06_Capitulos/2026-10-22_Cap2_Marco_Teorico_v0.1.docx</t>
        </is>
      </c>
      <c r="H12" s="15" t="inlineStr">
        <is>
          <t>Capítulo completo</t>
        </is>
      </c>
      <c r="I12" s="24" t="n">
        <v>2</v>
      </c>
      <c r="J12" s="27" t="n">
        <v>46315</v>
      </c>
      <c r="K12" s="15" t="inlineStr">
        <is>
          <t>Hecho</t>
        </is>
      </c>
      <c r="L12" s="15">
        <f>IF(K12="Cancelado","",IF(J12&lt;&gt;"",J12-B12,IF(AND(K12&lt;&gt;"Hecho",TODAY()&gt;B12),TODAY()-B12,0)))</f>
        <v/>
      </c>
      <c r="M12" s="15" t="inlineStr">
        <is>
          <t>S2-02 (#14)</t>
        </is>
      </c>
      <c r="N12" s="15" t="inlineStr">
        <is>
          <t>Bloque doble con: A44 (Ley de Comercio Electrónico) y A30 (blockchain) · Adelantada al 19-oct: va en el mismo Cap. II v0.1 (RAG, normativa). Faltan Lewis 2020, Kleppmann, SHA-256, A44 · 20-oct: v0.2 con norma SHA-256 (NIST 2015) y vacíos reformulados (2026-10-20_Cap2_Marco_Teorico_v0.2.docx)</t>
        </is>
      </c>
    </row>
    <row r="13">
      <c r="A13" s="15" t="inlineStr">
        <is>
          <t>S2-T08</t>
        </is>
      </c>
      <c r="B13" s="22" t="n">
        <v>46317</v>
      </c>
      <c r="C13" s="23">
        <f>B13</f>
        <v/>
      </c>
      <c r="D13" s="15" t="inlineStr">
        <is>
          <t>Terminar el proceso actual (AS-IS) y marcar dónde se pierde tiempo</t>
        </is>
      </c>
      <c r="E13" s="15" t="inlineStr">
        <is>
          <t>Diego</t>
        </is>
      </c>
      <c r="F13" s="15" t="inlineStr">
        <is>
          <t>07_Flujos_Diseno/</t>
        </is>
      </c>
      <c r="G13" s="15" t="inlineStr">
        <is>
          <t>07_Flujos_Diseno/2026-10-22_AS-IS_v0.1</t>
        </is>
      </c>
      <c r="H13" s="15" t="inlineStr">
        <is>
          <t>Validado contra las entrevistas</t>
        </is>
      </c>
      <c r="I13" s="24" t="n">
        <v>2</v>
      </c>
      <c r="J13" s="22" t="n">
        <v>46320</v>
      </c>
      <c r="K13" s="15" t="inlineStr">
        <is>
          <t>Hecho</t>
        </is>
      </c>
      <c r="L13" s="15">
        <f>IF(K13="Cancelado","",IF(J13&lt;&gt;"",J13-B13,IF(AND(K13&lt;&gt;"Hecho",TODAY()&gt;B13),TODAY()-B13,0)))</f>
        <v/>
      </c>
      <c r="M13" s="15" t="inlineStr">
        <is>
          <t>S2-05 (#17)</t>
        </is>
      </c>
      <c r="N13" s="15" t="inlineStr">
        <is>
          <t>25-oct: 5 puntos donde se pierde tiempo marcados; la validación con entrevistas queda para el campo</t>
        </is>
      </c>
    </row>
    <row r="14">
      <c r="A14" s="15" t="inlineStr">
        <is>
          <t>S2-T09</t>
        </is>
      </c>
      <c r="B14" s="22" t="n">
        <v>46318</v>
      </c>
      <c r="C14" s="23">
        <f>B14</f>
        <v/>
      </c>
      <c r="D14" s="15" t="inlineStr">
        <is>
          <t>Buscar fuentes de adopción de IA y automatización comercial 2023–2026, para el marco teórico</t>
        </is>
      </c>
      <c r="E14" s="15" t="inlineStr">
        <is>
          <t>Víctor</t>
        </is>
      </c>
      <c r="F14" s="15" t="inlineStr">
        <is>
          <t>02_Fuentes/Tecnologia_IA/</t>
        </is>
      </c>
      <c r="G14" s="15" t="inlineStr">
        <is>
          <t>≥5 fichas</t>
        </is>
      </c>
      <c r="H14" s="15" t="inlineStr">
        <is>
          <t>Cada ficha con estado</t>
        </is>
      </c>
      <c r="I14" s="24" t="n">
        <v>1</v>
      </c>
      <c r="J14" s="22" t="n">
        <v>46314</v>
      </c>
      <c r="K14" s="15" t="inlineStr">
        <is>
          <t>Hecho</t>
        </is>
      </c>
      <c r="L14" s="15">
        <f>IF(K14="Cancelado","",IF(J14&lt;&gt;"",J14-B14,IF(AND(K14&lt;&gt;"Hecho",TODAY()&gt;B14),TODAY()-B14,0)))</f>
        <v/>
      </c>
      <c r="M14" s="15" t="inlineStr">
        <is>
          <t>S2-02 (#14)</t>
        </is>
      </c>
      <c r="N14" s="15" t="inlineStr">
        <is>
          <t>19-oct: 4 fichas nuevas de IA (rodriguez_2025, chatterjee_2023a, bohm_2026, hernandezvega_2026) + 10 de CTX-IA ya verificadas</t>
        </is>
      </c>
    </row>
    <row r="15">
      <c r="A15" s="15" t="inlineStr">
        <is>
          <t>S2-T10</t>
        </is>
      </c>
      <c r="B15" s="22" t="n">
        <v>46318</v>
      </c>
      <c r="C15" s="23">
        <f>B15</f>
        <v/>
      </c>
      <c r="D15" s="15" t="inlineStr">
        <is>
          <t>Armar el lienzo del modelo de negocio y la propuesta de valor (primer borrador)</t>
        </is>
      </c>
      <c r="E15" s="15" t="inlineStr">
        <is>
          <t>Víctor</t>
        </is>
      </c>
      <c r="F15" s="15" t="inlineStr">
        <is>
          <t>06_Capitulos/Modelo_Negocio/</t>
        </is>
      </c>
      <c r="G15" s="15" t="inlineStr">
        <is>
          <t>06_Capitulos/Modelo_Negocio/2026-10-23_Lienzo_Modelo_Negocio_v0.1.docx</t>
        </is>
      </c>
      <c r="H15" s="15" t="inlineStr">
        <is>
          <t>9 bloques completos</t>
        </is>
      </c>
      <c r="I15" s="24" t="n">
        <v>1</v>
      </c>
      <c r="J15" s="27" t="n">
        <v>46315</v>
      </c>
      <c r="K15" s="15" t="inlineStr">
        <is>
          <t>Hecho</t>
        </is>
      </c>
      <c r="L15" s="15">
        <f>IF(K15="Cancelado","",IF(J15&lt;&gt;"",J15-B15,IF(AND(K15&lt;&gt;"Hecho",TODAY()&gt;B15),TODAY()-B15,0)))</f>
        <v/>
      </c>
      <c r="M15" s="15" t="inlineStr">
        <is>
          <t>S2-07 (#58)</t>
        </is>
      </c>
      <c r="N15" s="15" t="inlineStr">
        <is>
          <t>Adelantada al 19-oct: lienzo v0.1 (propuesta de valor para Torvesa + TEAMSLASH como anexo, D7); Víctor revisa · 20-oct: lienzo v0.2 con DEC-16 (bóveda en Estándar, IA solo en Premium)</t>
        </is>
      </c>
    </row>
    <row r="16">
      <c r="A16" s="15" t="inlineStr">
        <is>
          <t>S2-T11</t>
        </is>
      </c>
      <c r="B16" s="22" t="n">
        <v>46318</v>
      </c>
      <c r="C16" s="23">
        <f>B16</f>
        <v/>
      </c>
      <c r="D16" s="15" t="inlineStr">
        <is>
          <t>Hacer el inventario de herramientas candidatas, con criterios de comparación</t>
        </is>
      </c>
      <c r="E16" s="15" t="inlineStr">
        <is>
          <t>Diego</t>
        </is>
      </c>
      <c r="F16" s="15" t="inlineStr">
        <is>
          <t>07_Flujos_Diseno/</t>
        </is>
      </c>
      <c r="G16" s="15" t="inlineStr">
        <is>
          <t>Inventario v0.1 (borrador)</t>
        </is>
      </c>
      <c r="H16" s="15" t="inlineStr">
        <is>
          <t>≥3 opciones por componente</t>
        </is>
      </c>
      <c r="I16" s="24" t="n">
        <v>2</v>
      </c>
      <c r="J16" s="22" t="n">
        <v>46320</v>
      </c>
      <c r="K16" s="15" t="inlineStr">
        <is>
          <t>Hecho</t>
        </is>
      </c>
      <c r="L16" s="15">
        <f>IF(K16="Cancelado","",IF(J16&lt;&gt;"",J16-B16,IF(AND(K16&lt;&gt;"Hecho",TODAY()&gt;B16),TODAY()-B16,0)))</f>
        <v/>
      </c>
      <c r="M16" s="15" t="inlineStr">
        <is>
          <t>S2-06 (#18)</t>
        </is>
      </c>
      <c r="N16" s="15" t="inlineStr">
        <is>
          <t>25-oct: 07_Flujos_Diseno/2026-10-25_Inventario_Herramientas_v0.1.xlsx (13 herramientas, criterios C1–C8)</t>
        </is>
      </c>
    </row>
    <row r="17">
      <c r="A17" s="15" t="inlineStr">
        <is>
          <t>S2-T12</t>
        </is>
      </c>
      <c r="B17" s="22" t="n">
        <v>46319</v>
      </c>
      <c r="C17" s="23">
        <f>B17</f>
        <v/>
      </c>
      <c r="D17" s="15" t="inlineStr">
        <is>
          <t>Escribir el capítulo 3, parte 1 (enfoque, DSR y población)</t>
        </is>
      </c>
      <c r="E17" s="15" t="inlineStr">
        <is>
          <t>Víctor</t>
        </is>
      </c>
      <c r="F17" s="15" t="inlineStr">
        <is>
          <t>06_Capitulos/</t>
        </is>
      </c>
      <c r="G17" s="15" t="inlineStr">
        <is>
          <t>Cap3 v0.1 (primera mitad)</t>
        </is>
      </c>
      <c r="H17" s="15" t="inlineStr">
        <is>
          <t>Coherente con D1 y D2</t>
        </is>
      </c>
      <c r="I17" s="24" t="n">
        <v>3</v>
      </c>
      <c r="J17" s="27" t="n">
        <v>46315</v>
      </c>
      <c r="K17" s="15" t="inlineStr">
        <is>
          <t>Hecho</t>
        </is>
      </c>
      <c r="L17" s="15">
        <f>IF(K17="Cancelado","",IF(J17&lt;&gt;"",J17-B17,IF(AND(K17&lt;&gt;"Hecho",TODAY()&gt;B17),TODAY()-B17,0)))</f>
        <v/>
      </c>
      <c r="M17" s="15" t="inlineStr">
        <is>
          <t>S2-03 (#15)</t>
        </is>
      </c>
      <c r="N17" s="15" t="inlineStr">
        <is>
          <t>Adelantada al 19-oct: Cap. III completo v0.1 (partes 1 y 2); Víctor revisa · 20-oct: Víctor aprobó la v0.1; v0.2 (2026-10-20_Cap3_Metodologia_v0.2.docx)</t>
        </is>
      </c>
    </row>
    <row r="18">
      <c r="A18" s="15" t="inlineStr">
        <is>
          <t>S2-T13</t>
        </is>
      </c>
      <c r="B18" s="22" t="n">
        <v>46319</v>
      </c>
      <c r="C18" s="23">
        <f>B18</f>
        <v/>
      </c>
      <c r="D18" s="15" t="inlineStr">
        <is>
          <t>Escribir un resumen de 1 página para Diego del capítulo 1</t>
        </is>
      </c>
      <c r="E18" s="15" t="inlineStr">
        <is>
          <t>Víctor</t>
        </is>
      </c>
      <c r="F18" s="15" t="inlineStr">
        <is>
          <t>06_Capitulos/</t>
        </is>
      </c>
      <c r="G18" s="15" t="inlineStr">
        <is>
          <t>06_Capitulos/2026-10-24_Resumen_Cap1.md</t>
        </is>
      </c>
      <c r="H18" s="15" t="inlineStr">
        <is>
          <t>Diego lo leyó</t>
        </is>
      </c>
      <c r="I18" s="24" t="n">
        <v>0.5</v>
      </c>
      <c r="J18" s="22" t="n"/>
      <c r="K18" s="15" t="inlineStr">
        <is>
          <t>En curso</t>
        </is>
      </c>
      <c r="L18" s="15">
        <f>IF(K18="Cancelado","",IF(J18&lt;&gt;"",J18-B18,IF(AND(K18&lt;&gt;"Hecho",TODAY()&gt;B18),TODAY()-B18,0)))</f>
        <v/>
      </c>
      <c r="M18" s="15" t="inlineStr">
        <is>
          <t>S2-01 (#13)</t>
        </is>
      </c>
      <c r="N18" s="15" t="inlineStr">
        <is>
          <t>Adelantada al 19-oct: 06_Capitulos/2026-10-19_Resumen_Cap1.md; Víctor lo revisa y lo envía</t>
        </is>
      </c>
    </row>
    <row r="19">
      <c r="A19" s="15" t="inlineStr">
        <is>
          <t>S2-T14</t>
        </is>
      </c>
      <c r="B19" s="22" t="n">
        <v>46319</v>
      </c>
      <c r="C19" s="23">
        <f>B19</f>
        <v/>
      </c>
      <c r="D19" s="15" t="inlineStr">
        <is>
          <t>Terminar el inventario de herramientas con precios y criterios</t>
        </is>
      </c>
      <c r="E19" s="15" t="inlineStr">
        <is>
          <t>Diego</t>
        </is>
      </c>
      <c r="F19" s="15" t="inlineStr">
        <is>
          <t>07_Flujos_Diseno/</t>
        </is>
      </c>
      <c r="G19" s="15" t="inlineStr">
        <is>
          <t>07_Flujos_Diseno/2026-10-24_Inventario_Herramientas_v0.1.xlsx</t>
        </is>
      </c>
      <c r="H19" s="15" t="inlineStr">
        <is>
          <t>Cada precio con fuente</t>
        </is>
      </c>
      <c r="I19" s="24" t="n">
        <v>2.5</v>
      </c>
      <c r="J19" s="22" t="n">
        <v>46320</v>
      </c>
      <c r="K19" s="15" t="inlineStr">
        <is>
          <t>Hecho</t>
        </is>
      </c>
      <c r="L19" s="15">
        <f>IF(K19="Cancelado","",IF(J19&lt;&gt;"",J19-B19,IF(AND(K19&lt;&gt;"Hecho",TODAY()&gt;B19),TODAY()-B19,0)))</f>
        <v/>
      </c>
      <c r="M19" s="15" t="inlineStr">
        <is>
          <t>S2-06 (#18)</t>
        </is>
      </c>
      <c r="N19" s="15" t="inlineStr">
        <is>
          <t>25-oct: inventario v0.2 con pesos y puntuación</t>
        </is>
      </c>
    </row>
    <row r="20">
      <c r="A20" s="15" t="inlineStr">
        <is>
          <t>S2-T15</t>
        </is>
      </c>
      <c r="B20" s="22" t="n">
        <v>46319</v>
      </c>
      <c r="C20" s="23">
        <f>B20</f>
        <v/>
      </c>
      <c r="D20" s="15" t="inlineStr">
        <is>
          <t>Escribir un resumen de 1 página para Víctor del proceso actual</t>
        </is>
      </c>
      <c r="E20" s="15" t="inlineStr">
        <is>
          <t>Diego</t>
        </is>
      </c>
      <c r="F20" s="15" t="inlineStr">
        <is>
          <t>07_Flujos_Diseno/</t>
        </is>
      </c>
      <c r="G20" s="15" t="inlineStr">
        <is>
          <t>07_Flujos_Diseno/2026-10-24_Resumen_AS-IS.md</t>
        </is>
      </c>
      <c r="H20" s="15" t="inlineStr">
        <is>
          <t>Víctor lo leyó</t>
        </is>
      </c>
      <c r="I20" s="24" t="n">
        <v>0.5</v>
      </c>
      <c r="J20" s="22" t="n"/>
      <c r="K20" s="15" t="inlineStr">
        <is>
          <t>Movido</t>
        </is>
      </c>
      <c r="L20" s="15">
        <f>IF(K20="Cancelado","",IF(J20&lt;&gt;"",J20-B20,IF(AND(K20&lt;&gt;"Hecho",TODAY()&gt;B20),TODAY()-B20,0)))</f>
        <v/>
      </c>
      <c r="M20" s="15" t="inlineStr">
        <is>
          <t>S2-05 (#17)</t>
        </is>
      </c>
      <c r="N20" s="15" t="inlineStr">
        <is>
          <t>27-oct: la descripción está en 2026-10-25_AS-IS_v0.1.md, pero falta el resumen de 1 página; copia en S3-T19 (reprogramada 27-oct)</t>
        </is>
      </c>
    </row>
    <row r="21">
      <c r="A21" s="15" t="inlineStr">
        <is>
          <t>S2-T16</t>
        </is>
      </c>
      <c r="B21" s="22" t="n">
        <v>46320</v>
      </c>
      <c r="C21" s="23">
        <f>B21</f>
        <v/>
      </c>
      <c r="D21" s="15" t="inlineStr">
        <is>
          <t>Escribir el capítulo 3, parte 2 (instrumentos, análisis y ética)</t>
        </is>
      </c>
      <c r="E21" s="15" t="inlineStr">
        <is>
          <t>Víctor</t>
        </is>
      </c>
      <c r="F21" s="15" t="inlineStr">
        <is>
          <t>06_Capitulos/</t>
        </is>
      </c>
      <c r="G21" s="15" t="inlineStr">
        <is>
          <t>06_Capitulos/2026-10-25_Cap3_Metodologia_v0.1.docx</t>
        </is>
      </c>
      <c r="H21" s="15" t="inlineStr">
        <is>
          <t>Capítulo completo</t>
        </is>
      </c>
      <c r="I21" s="24" t="n">
        <v>2</v>
      </c>
      <c r="J21" s="27" t="n">
        <v>46315</v>
      </c>
      <c r="K21" s="15" t="inlineStr">
        <is>
          <t>Hecho</t>
        </is>
      </c>
      <c r="L21" s="15">
        <f>IF(K21="Cancelado","",IF(J21&lt;&gt;"",J21-B21,IF(AND(K21&lt;&gt;"Hecho",TODAY()&gt;B21),TODAY()-B21,0)))</f>
        <v/>
      </c>
      <c r="M21" s="15" t="inlineStr">
        <is>
          <t>S2-03 (#15)</t>
        </is>
      </c>
      <c r="N21" s="15" t="inlineStr">
        <is>
          <t>Adelantada al 19-oct: va en el mismo Cap. III v0.1; Víctor revisa · 20-oct: va en el mismo Cap. III v0.2</t>
        </is>
      </c>
    </row>
    <row r="22">
      <c r="A22" s="15" t="inlineStr">
        <is>
          <t>S2-T17</t>
        </is>
      </c>
      <c r="B22" s="22" t="n">
        <v>46320</v>
      </c>
      <c r="C22" s="23">
        <f>B22</f>
        <v/>
      </c>
      <c r="D22" s="15" t="inlineStr">
        <is>
          <t>Preparar las gráficas de datos para la Revisión 1</t>
        </is>
      </c>
      <c r="E22" s="15" t="inlineStr">
        <is>
          <t>Diego</t>
        </is>
      </c>
      <c r="F22" s="15" t="inlineStr">
        <is>
          <t>05_Datos_Campo/LineaBase_2026-10/</t>
        </is>
      </c>
      <c r="G22" s="15" t="inlineStr">
        <is>
          <t>05_Datos_Campo/LineaBase_2026-10/analisis/figuras/</t>
        </is>
      </c>
      <c r="H22" s="15" t="inlineStr">
        <is>
          <t>Gráficas legibles con título</t>
        </is>
      </c>
      <c r="I22" s="24" t="n">
        <v>2</v>
      </c>
      <c r="J22" s="22" t="n"/>
      <c r="K22" s="15" t="inlineStr">
        <is>
          <t>Movido</t>
        </is>
      </c>
      <c r="L22" s="15">
        <f>IF(K22="Cancelado","",IF(J22&lt;&gt;"",J22-B22,IF(AND(K22&lt;&gt;"Hecho",TODAY()&gt;B22),TODAY()-B22,0)))</f>
        <v/>
      </c>
      <c r="M22" s="15" t="inlineStr">
        <is>
          <t>S2-04 (#16)</t>
        </is>
      </c>
      <c r="N22" s="15" t="inlineStr">
        <is>
          <t>27-oct: bloqueada, sin datos; en la Revisión 1 se muestra el AS-IS; copia en S4-T17 (reprogramada 27-oct)</t>
        </is>
      </c>
    </row>
    <row r="23">
      <c r="A23" s="15" t="inlineStr">
        <is>
          <t>S2-T18</t>
        </is>
      </c>
      <c r="B23" s="22" t="n">
        <v>46320</v>
      </c>
      <c r="C23" s="23">
        <f>B23</f>
        <v/>
      </c>
      <c r="D23" s="15" t="inlineStr">
        <is>
          <t>Revisar el sprint (qué hicimos, qué no, qué aprendimos), hacer 20 min de «explícame lo tuyo» y planificar el siguiente</t>
        </is>
      </c>
      <c r="E23" s="15" t="inlineStr">
        <is>
          <t>Ambos</t>
        </is>
      </c>
      <c r="F23" s="15" t="inlineStr">
        <is>
          <t>Llamada Víctor–Diego · 11_Planificacion/Bitacora_Semanal.md y 11_Planificacion/Cronograma_Tesis.xlsx</t>
        </is>
      </c>
      <c r="G23" s="15" t="inlineStr">
        <is>
          <t>Sección de la semana en la bitácora + hoja del sprint siguiente ajustada</t>
        </is>
      </c>
      <c r="H23" s="15" t="inlineStr">
        <is>
          <t>El informe del domingo (21:00) sale con la sección nueva</t>
        </is>
      </c>
      <c r="I23" s="24" t="n">
        <v>1</v>
      </c>
      <c r="J23" s="22" t="n"/>
      <c r="K23" s="15" t="inlineStr">
        <is>
          <t>Movido</t>
        </is>
      </c>
      <c r="L23" s="15">
        <f>IF(K23="Cancelado","",IF(J23&lt;&gt;"",J23-B23,IF(AND(K23&lt;&gt;"Hecho",TODAY()&gt;B23),TODAY()-B23,0)))</f>
        <v/>
      </c>
      <c r="M23" s="15" t="inlineStr">
        <is>
          <t>S2-08 (#59)</t>
        </is>
      </c>
      <c r="N23" s="15" t="inlineStr">
        <is>
          <t>27-oct: revisión escrita en la bitácora; la llamada con Diego se hace junto con el ensayo (S3-T03, reprogramada 27-oct)</t>
        </is>
      </c>
    </row>
  </sheetData>
  <autoFilter ref="A5:N23"/>
  <conditionalFormatting sqref="A6:N23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dataValidations count="2">
    <dataValidation sqref="K6:K63" showDropDown="0" showInputMessage="0" showErrorMessage="0" allowBlank="1" type="list">
      <formula1>"Pendiente,En curso,Hecho,Movido,Cancelado"</formula1>
    </dataValidation>
    <dataValidation sqref="E6:E63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Sprint 3 · 26 oct–1 nov · Revisión 1 con la tutora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Mostrar avance, corregir, y preparar el diseño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IFERROR(COUNTIF(K6:K24,"Hecho")/(COUNTA(D6:D24)-COUNTIF(K6:K24,"Cancelado")),0)</f>
        <v/>
      </c>
      <c r="D3" s="13">
        <f>"Víctor: "&amp;TEXT(IFERROR((COUNTIFS(E6:E24,"Víctor",K6:K24,"Hecho")+COUNTIFS(E6:E24,"Ambos",K6:K24,"Hecho"))/(COUNTIF(E6:E24,"Víctor")+COUNTIF(E6:E24,"Ambos")),0),"0%")&amp;"   ·   Diego: "&amp;TEXT(IFERROR((COUNTIFS(E6:E24,"Diego",K6:K24,"Hecho")+COUNTIFS(E6:E24,"Ambos",K6:K24,"Hecho"))/(COUNTIF(E6:E24,"Diego")+COUNTIF(E6:E24,"Ambos")),0),"0%")&amp;"   ·   Horas: "&amp;TEXT(SUM(I6:I24),"0.0")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S3-T01</t>
        </is>
      </c>
      <c r="B6" s="22" t="n">
        <v>46321</v>
      </c>
      <c r="C6" s="23">
        <f>B6</f>
        <v/>
      </c>
      <c r="D6" s="15" t="inlineStr">
        <is>
          <t>Preparar la presentación de avance (capítulos 1–3 y fuentes), para la Revisión 1</t>
        </is>
      </c>
      <c r="E6" s="15" t="inlineStr">
        <is>
          <t>Víctor</t>
        </is>
      </c>
      <c r="F6" s="15" t="inlineStr">
        <is>
          <t>08_Reuniones_Tutora/</t>
        </is>
      </c>
      <c r="G6" s="15" t="inlineStr">
        <is>
          <t>08_Reuniones_Tutora/2026-10-27_Presentacion_Revision1.pptx</t>
        </is>
      </c>
      <c r="H6" s="15" t="inlineStr">
        <is>
          <t>Máx. 12 diapositivas</t>
        </is>
      </c>
      <c r="I6" s="24" t="n">
        <v>2</v>
      </c>
      <c r="J6" s="22" t="n"/>
      <c r="K6" s="15" t="inlineStr">
        <is>
          <t>Pendiente</t>
        </is>
      </c>
      <c r="L6" s="15">
        <f>IF(K6="Cancelado","",IF(J6&lt;&gt;"",J6-B6,IF(AND(K6&lt;&gt;"Hecho",TODAY()&gt;B6),TODAY()-B6,0)))</f>
        <v/>
      </c>
      <c r="M6" s="15" t="inlineStr">
        <is>
          <t>S3-01 (#19)</t>
        </is>
      </c>
      <c r="N6" s="15" t="inlineStr"/>
    </row>
    <row r="7">
      <c r="A7" s="15" t="inlineStr">
        <is>
          <t>S3-T02</t>
        </is>
      </c>
      <c r="B7" s="22" t="n">
        <v>46321</v>
      </c>
      <c r="C7" s="23">
        <f>B7</f>
        <v/>
      </c>
      <c r="D7" s="15" t="inlineStr">
        <is>
          <t>Exportar el proceso actual y las gráficas para la presentación</t>
        </is>
      </c>
      <c r="E7" s="15" t="inlineStr">
        <is>
          <t>Diego</t>
        </is>
      </c>
      <c r="F7" s="15" t="inlineStr">
        <is>
          <t>07_Flujos_Diseno/</t>
        </is>
      </c>
      <c r="G7" s="15" t="inlineStr">
        <is>
          <t>Imágenes en la presentación</t>
        </is>
      </c>
      <c r="H7" s="15" t="inlineStr">
        <is>
          <t>Se leen bien proyectadas</t>
        </is>
      </c>
      <c r="I7" s="24" t="n">
        <v>2</v>
      </c>
      <c r="J7" s="22" t="n"/>
      <c r="K7" s="15" t="inlineStr">
        <is>
          <t>En curso</t>
        </is>
      </c>
      <c r="L7" s="15">
        <f>IF(K7="Cancelado","",IF(J7&lt;&gt;"",J7-B7,IF(AND(K7&lt;&gt;"Hecho",TODAY()&gt;B7),TODAY()-B7,0)))</f>
        <v/>
      </c>
      <c r="M7" s="15" t="inlineStr">
        <is>
          <t>S3-03 (#21)</t>
        </is>
      </c>
      <c r="N7" s="15" t="inlineStr">
        <is>
          <t>27-oct: la figura ya existe (07_Flujos_Diseno/2026-10-25_AS-IS_v0.1.png); no hay gráficas de datos porque no hay campo</t>
        </is>
      </c>
    </row>
    <row r="8">
      <c r="A8" s="15" t="inlineStr">
        <is>
          <t>S3-T03</t>
        </is>
      </c>
      <c r="B8" s="22" t="n">
        <v>46322</v>
      </c>
      <c r="C8" s="23">
        <f>B8</f>
        <v/>
      </c>
      <c r="D8" s="15" t="inlineStr">
        <is>
          <t>Ensayar la presentación de la Revisión 1</t>
        </is>
      </c>
      <c r="E8" s="15" t="inlineStr">
        <is>
          <t>Ambos</t>
        </is>
      </c>
      <c r="F8" s="15" t="inlineStr">
        <is>
          <t>Llamada Víctor–Diego</t>
        </is>
      </c>
      <c r="G8" s="15" t="inlineStr">
        <is>
          <t>Ensayo cronometrado</t>
        </is>
      </c>
      <c r="H8" s="15" t="inlineStr">
        <is>
          <t>Dura ≤15 min</t>
        </is>
      </c>
      <c r="I8" s="24" t="n">
        <v>1</v>
      </c>
      <c r="J8" s="22" t="n"/>
      <c r="K8" s="15" t="inlineStr">
        <is>
          <t>Pendiente</t>
        </is>
      </c>
      <c r="L8" s="15">
        <f>IF(K8="Cancelado","",IF(J8&lt;&gt;"",J8-B8,IF(AND(K8&lt;&gt;"Hecho",TODAY()&gt;B8),TODAY()-B8,0)))</f>
        <v/>
      </c>
      <c r="M8" s="15" t="inlineStr">
        <is>
          <t>S3-01 (#19)</t>
        </is>
      </c>
      <c r="N8" s="15" t="inlineStr">
        <is>
          <t>27-oct en la noche; incluye la revisión del sprint 2 que quedó pendiente (S2-T18)</t>
        </is>
      </c>
    </row>
    <row r="9">
      <c r="A9" s="15" t="inlineStr">
        <is>
          <t>S3-T04</t>
        </is>
      </c>
      <c r="B9" s="22" t="n">
        <v>46322</v>
      </c>
      <c r="C9" s="23">
        <f>B9</f>
        <v/>
      </c>
      <c r="D9" s="15" t="inlineStr">
        <is>
          <t>Escribir cómo estructuré mi bóveda 1 (patrones, no datos), parte 1</t>
        </is>
      </c>
      <c r="E9" s="15" t="inlineStr">
        <is>
          <t>Víctor</t>
        </is>
      </c>
      <c r="F9" s="15" t="inlineStr">
        <is>
          <t>07_Flujos_Diseno/</t>
        </is>
      </c>
      <c r="G9" s="15" t="inlineStr">
        <is>
          <t>Patrones v0.1 (primera mitad)</t>
        </is>
      </c>
      <c r="H9" s="15" t="inlineStr">
        <is>
          <t>Sin datos de CRISFE</t>
        </is>
      </c>
      <c r="I9" s="24" t="n">
        <v>1</v>
      </c>
      <c r="J9" s="22" t="n"/>
      <c r="K9" s="15" t="inlineStr">
        <is>
          <t>Pendiente</t>
        </is>
      </c>
      <c r="L9" s="15">
        <f>IF(K9="Cancelado","",IF(J9&lt;&gt;"",J9-B9,IF(AND(K9&lt;&gt;"Hecho",TODAY()&gt;B9),TODAY()-B9,0)))</f>
        <v/>
      </c>
      <c r="M9" s="15" t="inlineStr">
        <is>
          <t>S3-04 (#60)</t>
        </is>
      </c>
      <c r="N9" s="15" t="inlineStr"/>
    </row>
    <row r="10">
      <c r="A10" s="15" t="inlineStr">
        <is>
          <t>S3-T05</t>
        </is>
      </c>
      <c r="B10" s="22" t="n">
        <v>46323</v>
      </c>
      <c r="C10" s="23">
        <f>B10</f>
        <v/>
      </c>
      <c r="D10" s="15" t="inlineStr">
        <is>
          <t>Asistir a la Revisión 1 con la tutora (fecha a confirmar)</t>
        </is>
      </c>
      <c r="E10" s="15" t="inlineStr">
        <is>
          <t>Ambos</t>
        </is>
      </c>
      <c r="F10" s="15" t="inlineStr">
        <is>
          <t>UPS Quito, en persona</t>
        </is>
      </c>
      <c r="G10" s="15" t="inlineStr">
        <is>
          <t>Observaciones anotadas</t>
        </is>
      </c>
      <c r="H10" s="15" t="inlineStr">
        <is>
          <t>Reunión realizada</t>
        </is>
      </c>
      <c r="I10" s="24" t="n">
        <v>1.5</v>
      </c>
      <c r="J10" s="22" t="n"/>
      <c r="K10" s="15" t="inlineStr">
        <is>
          <t>Pendiente</t>
        </is>
      </c>
      <c r="L10" s="15">
        <f>IF(K10="Cancelado","",IF(J10&lt;&gt;"",J10-B10,IF(AND(K10&lt;&gt;"Hecho",TODAY()&gt;B10),TODAY()-B10,0)))</f>
        <v/>
      </c>
      <c r="M10" s="15" t="inlineStr">
        <is>
          <t>S3-01 (#19)</t>
        </is>
      </c>
      <c r="N10" s="15" t="inlineStr">
        <is>
          <t>Confirmar fecha con la tutora</t>
        </is>
      </c>
    </row>
    <row r="11">
      <c r="A11" s="15" t="inlineStr">
        <is>
          <t>S3-T06</t>
        </is>
      </c>
      <c r="B11" s="22" t="n">
        <v>46323</v>
      </c>
      <c r="C11" s="23">
        <f>B11</f>
        <v/>
      </c>
      <c r="D11" s="15" t="inlineStr">
        <is>
          <t>Escribir el acta de la Revisión 1</t>
        </is>
      </c>
      <c r="E11" s="15" t="inlineStr">
        <is>
          <t>Víctor</t>
        </is>
      </c>
      <c r="F11" s="15" t="inlineStr">
        <is>
          <t>08_Reuniones_Tutora/</t>
        </is>
      </c>
      <c r="G11" s="15" t="inlineStr">
        <is>
          <t>08_Reuniones_Tutora/2026-10-28_Acta_Revision1.md</t>
        </is>
      </c>
      <c r="H11" s="15" t="inlineStr">
        <is>
          <t>Cada observación con responsable y plazo</t>
        </is>
      </c>
      <c r="I11" s="24" t="n">
        <v>0.5</v>
      </c>
      <c r="J11" s="22" t="n"/>
      <c r="K11" s="15" t="inlineStr">
        <is>
          <t>Pendiente</t>
        </is>
      </c>
      <c r="L11" s="15">
        <f>IF(K11="Cancelado","",IF(J11&lt;&gt;"",J11-B11,IF(AND(K11&lt;&gt;"Hecho",TODAY()&gt;B11),TODAY()-B11,0)))</f>
        <v/>
      </c>
      <c r="M11" s="15" t="inlineStr">
        <is>
          <t>S3-02 (#20)</t>
        </is>
      </c>
      <c r="N11" s="15" t="inlineStr"/>
    </row>
    <row r="12">
      <c r="A12" s="15" t="inlineStr">
        <is>
          <t>S3-T07</t>
        </is>
      </c>
      <c r="B12" s="22" t="n">
        <v>46324</v>
      </c>
      <c r="C12" s="23">
        <f>B12</f>
        <v/>
      </c>
      <c r="D12" s="15" t="inlineStr">
        <is>
          <t>Corregir los capítulos según las observaciones, parte 1</t>
        </is>
      </c>
      <c r="E12" s="15" t="inlineStr">
        <is>
          <t>Víctor</t>
        </is>
      </c>
      <c r="F12" s="15" t="inlineStr">
        <is>
          <t>06_Capitulos/</t>
        </is>
      </c>
      <c r="G12" s="15" t="inlineStr">
        <is>
          <t>Capítulos v0.2</t>
        </is>
      </c>
      <c r="H12" s="15" t="inlineStr">
        <is>
          <t>Observaciones marcadas como cerradas</t>
        </is>
      </c>
      <c r="I12" s="24" t="n">
        <v>2</v>
      </c>
      <c r="J12" s="22" t="n"/>
      <c r="K12" s="15" t="inlineStr">
        <is>
          <t>Pendiente</t>
        </is>
      </c>
      <c r="L12" s="15">
        <f>IF(K12="Cancelado","",IF(J12&lt;&gt;"",J12-B12,IF(AND(K12&lt;&gt;"Hecho",TODAY()&gt;B12),TODAY()-B12,0)))</f>
        <v/>
      </c>
      <c r="M12" s="15" t="inlineStr">
        <is>
          <t>S3-02 (#20)</t>
        </is>
      </c>
      <c r="N12" s="15" t="inlineStr"/>
    </row>
    <row r="13">
      <c r="A13" s="15" t="inlineStr">
        <is>
          <t>S3-T08</t>
        </is>
      </c>
      <c r="B13" s="22" t="n">
        <v>46324</v>
      </c>
      <c r="C13" s="23">
        <f>B13</f>
        <v/>
      </c>
      <c r="D13" s="15" t="inlineStr">
        <is>
          <t>Corregir el proceso actual y las gráficas según las observaciones</t>
        </is>
      </c>
      <c r="E13" s="15" t="inlineStr">
        <is>
          <t>Diego</t>
        </is>
      </c>
      <c r="F13" s="15" t="inlineStr">
        <is>
          <t>07_Flujos_Diseno/</t>
        </is>
      </c>
      <c r="G13" s="15" t="inlineStr">
        <is>
          <t>AS-IS v0.2</t>
        </is>
      </c>
      <c r="H13" s="15" t="inlineStr">
        <is>
          <t>Observaciones cerradas</t>
        </is>
      </c>
      <c r="I13" s="24" t="n">
        <v>2</v>
      </c>
      <c r="J13" s="22" t="n"/>
      <c r="K13" s="15" t="inlineStr">
        <is>
          <t>Pendiente</t>
        </is>
      </c>
      <c r="L13" s="15">
        <f>IF(K13="Cancelado","",IF(J13&lt;&gt;"",J13-B13,IF(AND(K13&lt;&gt;"Hecho",TODAY()&gt;B13),TODAY()-B13,0)))</f>
        <v/>
      </c>
      <c r="M13" s="15" t="inlineStr">
        <is>
          <t>S3-03 (#21)</t>
        </is>
      </c>
      <c r="N13" s="15" t="inlineStr"/>
    </row>
    <row r="14">
      <c r="A14" s="15" t="inlineStr">
        <is>
          <t>S3-T09</t>
        </is>
      </c>
      <c r="B14" s="22" t="n">
        <v>46325</v>
      </c>
      <c r="C14" s="23">
        <f>B14</f>
        <v/>
      </c>
      <c r="D14" s="15" t="inlineStr">
        <is>
          <t>Escribir cómo estructuré mi bóveda 1, parte 2</t>
        </is>
      </c>
      <c r="E14" s="15" t="inlineStr">
        <is>
          <t>Víctor</t>
        </is>
      </c>
      <c r="F14" s="15" t="inlineStr">
        <is>
          <t>07_Flujos_Diseno/</t>
        </is>
      </c>
      <c r="G14" s="15" t="inlineStr">
        <is>
          <t>07_Flujos_Diseno/2026-10-30_Patrones_Boveda1_v0.1.docx</t>
        </is>
      </c>
      <c r="H14" s="15" t="inlineStr">
        <is>
          <t>Documento completo, sin datos</t>
        </is>
      </c>
      <c r="I14" s="24" t="n">
        <v>1.5</v>
      </c>
      <c r="J14" s="22" t="n"/>
      <c r="K14" s="15" t="inlineStr">
        <is>
          <t>Pendiente</t>
        </is>
      </c>
      <c r="L14" s="15">
        <f>IF(K14="Cancelado","",IF(J14&lt;&gt;"",J14-B14,IF(AND(K14&lt;&gt;"Hecho",TODAY()&gt;B14),TODAY()-B14,0)))</f>
        <v/>
      </c>
      <c r="M14" s="15" t="inlineStr">
        <is>
          <t>S3-04 (#60)</t>
        </is>
      </c>
      <c r="N14" s="15" t="inlineStr"/>
    </row>
    <row r="15">
      <c r="A15" s="15" t="inlineStr">
        <is>
          <t>S3-T10</t>
        </is>
      </c>
      <c r="B15" s="22" t="n">
        <v>46325</v>
      </c>
      <c r="C15" s="23">
        <f>B15</f>
        <v/>
      </c>
      <c r="D15" s="15" t="inlineStr">
        <is>
          <t>Leer el documento de patrones de la bóveda 1 y anotar preguntas</t>
        </is>
      </c>
      <c r="E15" s="15" t="inlineStr">
        <is>
          <t>Diego</t>
        </is>
      </c>
      <c r="F15" s="15" t="inlineStr">
        <is>
          <t>07_Flujos_Diseno/</t>
        </is>
      </c>
      <c r="G15" s="15" t="inlineStr">
        <is>
          <t>Preguntas en el issue de S3-04</t>
        </is>
      </c>
      <c r="H15" s="15" t="inlineStr">
        <is>
          <t>Preguntas enviadas</t>
        </is>
      </c>
      <c r="I15" s="24" t="n">
        <v>1</v>
      </c>
      <c r="J15" s="22" t="n"/>
      <c r="K15" s="15" t="inlineStr">
        <is>
          <t>Pendiente</t>
        </is>
      </c>
      <c r="L15" s="15">
        <f>IF(K15="Cancelado","",IF(J15&lt;&gt;"",J15-B15,IF(AND(K15&lt;&gt;"Hecho",TODAY()&gt;B15),TODAY()-B15,0)))</f>
        <v/>
      </c>
      <c r="M15" s="15" t="inlineStr">
        <is>
          <t>S3-04 (#60)</t>
        </is>
      </c>
      <c r="N15" s="15" t="inlineStr"/>
    </row>
    <row r="16">
      <c r="A16" s="15" t="inlineStr">
        <is>
          <t>S3-T11</t>
        </is>
      </c>
      <c r="B16" s="22" t="n">
        <v>46326</v>
      </c>
      <c r="C16" s="23">
        <f>B16</f>
        <v/>
      </c>
      <c r="D16" s="15" t="inlineStr">
        <is>
          <t>Corregir los capítulos según las observaciones, parte 2</t>
        </is>
      </c>
      <c r="E16" s="15" t="inlineStr">
        <is>
          <t>Víctor</t>
        </is>
      </c>
      <c r="F16" s="15" t="inlineStr">
        <is>
          <t>06_Capitulos/</t>
        </is>
      </c>
      <c r="G16" s="15" t="inlineStr">
        <is>
          <t>Capítulos v0.2 completos</t>
        </is>
      </c>
      <c r="H16" s="15" t="inlineStr">
        <is>
          <t>Todas las observaciones cerradas</t>
        </is>
      </c>
      <c r="I16" s="24" t="n">
        <v>3</v>
      </c>
      <c r="J16" s="22" t="n"/>
      <c r="K16" s="15" t="inlineStr">
        <is>
          <t>Pendiente</t>
        </is>
      </c>
      <c r="L16" s="15">
        <f>IF(K16="Cancelado","",IF(J16&lt;&gt;"",J16-B16,IF(AND(K16&lt;&gt;"Hecho",TODAY()&gt;B16),TODAY()-B16,0)))</f>
        <v/>
      </c>
      <c r="M16" s="15" t="inlineStr">
        <is>
          <t>S3-02 (#20)</t>
        </is>
      </c>
      <c r="N16" s="15" t="inlineStr"/>
    </row>
    <row r="17">
      <c r="A17" s="15" t="inlineStr">
        <is>
          <t>S3-T12</t>
        </is>
      </c>
      <c r="B17" s="22" t="n">
        <v>46326</v>
      </c>
      <c r="C17" s="23">
        <f>B17</f>
        <v/>
      </c>
      <c r="D17" s="15" t="inlineStr">
        <is>
          <t>Preparar la plantilla de los flujos TO-BE (Mermaid o Miro)</t>
        </is>
      </c>
      <c r="E17" s="15" t="inlineStr">
        <is>
          <t>Diego</t>
        </is>
      </c>
      <c r="F17" s="15" t="inlineStr">
        <is>
          <t>07_Flujos_Diseno/</t>
        </is>
      </c>
      <c r="G17" s="15" t="inlineStr">
        <is>
          <t>Plantilla de flujos</t>
        </is>
      </c>
      <c r="H17" s="15" t="inlineStr">
        <is>
          <t>Lista para el lunes</t>
        </is>
      </c>
      <c r="I17" s="24" t="n">
        <v>2</v>
      </c>
      <c r="J17" s="22" t="n"/>
      <c r="K17" s="15" t="inlineStr">
        <is>
          <t>Pendiente</t>
        </is>
      </c>
      <c r="L17" s="15">
        <f>IF(K17="Cancelado","",IF(J17&lt;&gt;"",J17-B17,IF(AND(K17&lt;&gt;"Hecho",TODAY()&gt;B17),TODAY()-B17,0)))</f>
        <v/>
      </c>
      <c r="M17" s="15" t="inlineStr">
        <is>
          <t>S4-01 (#22)</t>
        </is>
      </c>
      <c r="N17" s="15" t="inlineStr"/>
    </row>
    <row r="18">
      <c r="A18" s="15" t="inlineStr">
        <is>
          <t>S3-T13</t>
        </is>
      </c>
      <c r="B18" s="22" t="n">
        <v>46327</v>
      </c>
      <c r="C18" s="23">
        <f>B18</f>
        <v/>
      </c>
      <c r="D18" s="15" t="inlineStr">
        <is>
          <t>Sesión: Víctor explica a Diego los conceptos de negocio (embudo, tiempo de respuesta, propuesta de valor)</t>
        </is>
      </c>
      <c r="E18" s="15" t="inlineStr">
        <is>
          <t>Ambos</t>
        </is>
      </c>
      <c r="F18" s="15" t="inlineStr">
        <is>
          <t>Llamada Víctor–Diego · Conceptos_Negocio.pdf (raíz)</t>
        </is>
      </c>
      <c r="G18" s="15" t="inlineStr">
        <is>
          <t>Diego traduce cada concepto a una función del sistema</t>
        </is>
      </c>
      <c r="H18" s="15" t="inlineStr">
        <is>
          <t>Lista de funciones anotada</t>
        </is>
      </c>
      <c r="I18" s="24" t="n">
        <v>1</v>
      </c>
      <c r="J18" s="22" t="n"/>
      <c r="K18" s="15" t="inlineStr">
        <is>
          <t>Pendiente</t>
        </is>
      </c>
      <c r="L18" s="15">
        <f>IF(K18="Cancelado","",IF(J18&lt;&gt;"",J18-B18,IF(AND(K18&lt;&gt;"Hecho",TODAY()&gt;B18),TODAY()-B18,0)))</f>
        <v/>
      </c>
      <c r="M18" s="15" t="inlineStr">
        <is>
          <t>S3-05 (#61)</t>
        </is>
      </c>
      <c r="N18" s="15" t="inlineStr"/>
    </row>
    <row r="19">
      <c r="A19" s="15" t="inlineStr">
        <is>
          <t>S3-T14</t>
        </is>
      </c>
      <c r="B19" s="22" t="n">
        <v>46327</v>
      </c>
      <c r="C19" s="23">
        <f>B19</f>
        <v/>
      </c>
      <c r="D19" s="15" t="inlineStr">
        <is>
          <t>Revisar el sprint (qué hicimos, qué no, qué aprendimos), hacer 20 min de «explícame lo tuyo» y planificar el siguiente</t>
        </is>
      </c>
      <c r="E19" s="15" t="inlineStr">
        <is>
          <t>Ambos</t>
        </is>
      </c>
      <c r="F19" s="15" t="inlineStr">
        <is>
          <t>Llamada Víctor–Diego · 11_Planificacion/Bitacora_Semanal.md y 11_Planificacion/Cronograma_Tesis.xlsx</t>
        </is>
      </c>
      <c r="G19" s="15" t="inlineStr">
        <is>
          <t>Sección de la semana en la bitácora + hoja del sprint siguiente ajustada</t>
        </is>
      </c>
      <c r="H19" s="15" t="inlineStr">
        <is>
          <t>El informe del domingo (21:00) sale con la sección nueva</t>
        </is>
      </c>
      <c r="I19" s="24" t="n">
        <v>1</v>
      </c>
      <c r="J19" s="22" t="n"/>
      <c r="K19" s="15" t="inlineStr">
        <is>
          <t>Pendiente</t>
        </is>
      </c>
      <c r="L19" s="15">
        <f>IF(K19="Cancelado","",IF(J19&lt;&gt;"",J19-B19,IF(AND(K19&lt;&gt;"Hecho",TODAY()&gt;B19),TODAY()-B19,0)))</f>
        <v/>
      </c>
      <c r="M19" s="15" t="inlineStr">
        <is>
          <t>S3-05 (#61)</t>
        </is>
      </c>
      <c r="N19" s="15" t="inlineStr"/>
    </row>
    <row r="20">
      <c r="A20" s="15" t="inlineStr">
        <is>
          <t>S3-T15</t>
        </is>
      </c>
      <c r="B20" s="22" t="n">
        <v>46322</v>
      </c>
      <c r="C20" s="23">
        <f>B20</f>
        <v/>
      </c>
      <c r="D20" s="15" t="inlineStr">
        <is>
          <t>Confirmar si TEAMSLASH guarda los datos en Google Sheets o en PostgreSQL, para el documento de elicitación</t>
        </is>
      </c>
      <c r="E20" s="15" t="inlineStr">
        <is>
          <t>Diego</t>
        </is>
      </c>
      <c r="F20" s="15" t="inlineStr">
        <is>
          <t>WhatsApp a Víctor · repositorio de TEAMSLASH</t>
        </is>
      </c>
      <c r="G20" s="15" t="inlineStr">
        <is>
          <t>Respuesta con evidencia (captura o enlace)</t>
        </is>
      </c>
      <c r="H20" s="15" t="inlineStr">
        <is>
          <t>Víctor tiene la respuesta</t>
        </is>
      </c>
      <c r="I20" s="24" t="n">
        <v>0.25</v>
      </c>
      <c r="J20" s="22" t="n"/>
      <c r="K20" s="15" t="inlineStr">
        <is>
          <t>Pendiente</t>
        </is>
      </c>
      <c r="L20" s="15">
        <f>IF(K20="Cancelado","",IF(J20&lt;&gt;"",J20-B20,IF(AND(K20&lt;&gt;"Hecho",TODAY()&gt;B20),TODAY()-B20,0)))</f>
        <v/>
      </c>
      <c r="M20" s="15" t="inlineStr">
        <is>
          <t>S4-04 (#25)</t>
        </is>
      </c>
      <c r="N20" s="15" t="inlineStr">
        <is>
          <t>Pendiente desde el 20-oct (reprogramada 27-oct)</t>
        </is>
      </c>
    </row>
    <row r="21">
      <c r="A21" s="15" t="inlineStr">
        <is>
          <t>S3-T16</t>
        </is>
      </c>
      <c r="B21" s="22" t="n">
        <v>46323</v>
      </c>
      <c r="C21" s="23">
        <f>B21</f>
        <v/>
      </c>
      <c r="D21" s="15" t="inlineStr">
        <is>
          <t>Conseguir la respuesta de Torvesa (autorización de campo, nota de respaldo y catálogo), para medir la línea base</t>
        </is>
      </c>
      <c r="E21" s="15" t="inlineStr">
        <is>
          <t>Diego</t>
        </is>
      </c>
      <c r="F21" s="15" t="inlineStr">
        <is>
          <t>Torvesa (llamada o visita al Ing. Torres)</t>
        </is>
      </c>
      <c r="G21" s="15" t="inlineStr">
        <is>
          <t>Autorización por escrito o fecha de campo comprometida</t>
        </is>
      </c>
      <c r="H21" s="15" t="inlineStr">
        <is>
          <t>Víctor tiene la respuesta y la fecha del campo</t>
        </is>
      </c>
      <c r="I21" s="24" t="n">
        <v>0.5</v>
      </c>
      <c r="J21" s="22" t="n"/>
      <c r="K21" s="15" t="inlineStr">
        <is>
          <t>Pendiente</t>
        </is>
      </c>
      <c r="L21" s="15">
        <f>IF(K21="Cancelado","",IF(J21&lt;&gt;"",J21-B21,IF(AND(K21&lt;&gt;"Hecho",TODAY()&gt;B21),TODAY()-B21,0)))</f>
        <v/>
      </c>
      <c r="M21" s="15" t="inlineStr">
        <is>
          <t>S1-09 (#9)</t>
        </is>
      </c>
      <c r="N21" s="15" t="inlineStr">
        <is>
          <t>Riesgo principal. Si no hay respuesta el 30-oct: pedir carta de respaldo a la tutora (reprogramada 27-oct)</t>
        </is>
      </c>
    </row>
    <row r="22">
      <c r="A22" s="15" t="inlineStr">
        <is>
          <t>S3-T17</t>
        </is>
      </c>
      <c r="B22" s="22" t="n">
        <v>46325</v>
      </c>
      <c r="C22" s="23">
        <f>B22</f>
        <v/>
      </c>
      <c r="D22" s="15" t="inlineStr">
        <is>
          <t>Revisar y completar la elicitación y análisis de requerimientos v0.1, parte 1: requerimientos técnicos (no funcionales y restricciones) y TEAMSLASH</t>
        </is>
      </c>
      <c r="E22" s="15" t="inlineStr">
        <is>
          <t>Diego</t>
        </is>
      </c>
      <c r="F22" s="15" t="inlineStr">
        <is>
          <t>07_Flujos_Diseno/2026-10-27_Elicitacion_Requerimientos_v0.1.docx (Word, control de cambios)</t>
        </is>
      </c>
      <c r="G22" s="15" t="inlineStr">
        <is>
          <t>Cambios y comentarios de Diego en el Word</t>
        </is>
      </c>
      <c r="H22" s="15" t="inlineStr">
        <is>
          <t>Cada requerimiento técnico con criterio de aceptación y fuente</t>
        </is>
      </c>
      <c r="I22" s="24" t="n">
        <v>1</v>
      </c>
      <c r="J22" s="22" t="n"/>
      <c r="K22" s="15" t="inlineStr">
        <is>
          <t>Pendiente</t>
        </is>
      </c>
      <c r="L22" s="15">
        <f>IF(K22="Cancelado","",IF(J22&lt;&gt;"",J22-B22,IF(AND(K22&lt;&gt;"Hecho",TODAY()&gt;B22),TODAY()-B22,0)))</f>
        <v/>
      </c>
      <c r="M22" s="15" t="inlineStr">
        <is>
          <t>S4-04 (#25)</t>
        </is>
      </c>
      <c r="N22" s="15" t="inlineStr">
        <is>
          <t>Tarea nueva (27-oct). Claude saca la v0.2 con lo que marque Diego</t>
        </is>
      </c>
    </row>
    <row r="23">
      <c r="A23" s="15" t="inlineStr">
        <is>
          <t>S3-T18</t>
        </is>
      </c>
      <c r="B23" s="22" t="n">
        <v>46326</v>
      </c>
      <c r="C23" s="23">
        <f>B23</f>
        <v/>
      </c>
      <c r="D23" s="15" t="inlineStr">
        <is>
          <t>Completar la elicitación v0.1, parte 2: diagrama de casos de uso y modelo conceptual</t>
        </is>
      </c>
      <c r="E23" s="15" t="inlineStr">
        <is>
          <t>Diego</t>
        </is>
      </c>
      <c r="F23" s="15" t="inlineStr">
        <is>
          <t>07_Flujos_Diseno/ (editable en draw.io, demo.bpmn.io o Mermaid)</t>
        </is>
      </c>
      <c r="G23" s="15" t="inlineStr">
        <is>
          <t>Casos de uso y modelo conceptual en PNG + archivo editable</t>
        </is>
      </c>
      <c r="H23" s="15" t="inlineStr">
        <is>
          <t>Cada caso de uso enlazado a un escenario ESC-xx</t>
        </is>
      </c>
      <c r="I23" s="24" t="n">
        <v>2</v>
      </c>
      <c r="J23" s="22" t="n"/>
      <c r="K23" s="15" t="inlineStr">
        <is>
          <t>Pendiente</t>
        </is>
      </c>
      <c r="L23" s="15">
        <f>IF(K23="Cancelado","",IF(J23&lt;&gt;"",J23-B23,IF(AND(K23&lt;&gt;"Hecho",TODAY()&gt;B23),TODAY()-B23,0)))</f>
        <v/>
      </c>
      <c r="M23" s="15" t="inlineStr">
        <is>
          <t>S4-04 (#25)</t>
        </is>
      </c>
      <c r="N23" s="15" t="inlineStr">
        <is>
          <t>Tarea nueva (27-oct). Va al anexo E del documento de elicitación</t>
        </is>
      </c>
    </row>
    <row r="24">
      <c r="A24" s="15" t="inlineStr">
        <is>
          <t>S3-T19</t>
        </is>
      </c>
      <c r="B24" s="22" t="n">
        <v>46327</v>
      </c>
      <c r="C24" s="23">
        <f>B24</f>
        <v/>
      </c>
      <c r="D24" s="15" t="inlineStr">
        <is>
          <t>Escribir el resumen de 1 página del proceso actual (AS-IS) para Víctor</t>
        </is>
      </c>
      <c r="E24" s="15" t="inlineStr">
        <is>
          <t>Diego</t>
        </is>
      </c>
      <c r="F24" s="15" t="inlineStr">
        <is>
          <t>07_Flujos_Diseno/</t>
        </is>
      </c>
      <c r="G24" s="15" t="inlineStr">
        <is>
          <t>07_Flujos_Diseno/2026-11-01_Resumen_AS-IS.md</t>
        </is>
      </c>
      <c r="H24" s="15" t="inlineStr">
        <is>
          <t>Víctor lo leyó</t>
        </is>
      </c>
      <c r="I24" s="24" t="n">
        <v>0.5</v>
      </c>
      <c r="J24" s="22" t="n"/>
      <c r="K24" s="15" t="inlineStr">
        <is>
          <t>Pendiente</t>
        </is>
      </c>
      <c r="L24" s="15">
        <f>IF(K24="Cancelado","",IF(J24&lt;&gt;"",J24-B24,IF(AND(K24&lt;&gt;"Hecho",TODAY()&gt;B24),TODAY()-B24,0)))</f>
        <v/>
      </c>
      <c r="M24" s="15" t="inlineStr">
        <is>
          <t>S2-05 (#17)</t>
        </is>
      </c>
      <c r="N24" s="15" t="inlineStr">
        <is>
          <t>Copia de S2-T15 (reprogramada 27-oct)</t>
        </is>
      </c>
    </row>
  </sheetData>
  <autoFilter ref="A5:N24"/>
  <conditionalFormatting sqref="A6:N19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conditionalFormatting sqref="A20:N24">
    <cfRule type="expression" priority="5" dxfId="1" stopIfTrue="1">
      <formula>$K20="Hecho"</formula>
    </cfRule>
    <cfRule type="expression" priority="6" dxfId="2" stopIfTrue="1">
      <formula>$K20="Movido"</formula>
    </cfRule>
    <cfRule type="expression" priority="7" dxfId="0" stopIfTrue="1">
      <formula>AND($K20&lt;&gt;"Cancelado",$L20&lt;&gt;"",$L20&gt;0)</formula>
    </cfRule>
    <cfRule type="expression" priority="8" dxfId="3">
      <formula>$K20="Cancelado"</formula>
    </cfRule>
  </conditionalFormatting>
  <dataValidations count="2">
    <dataValidation sqref="K6:K59" showDropDown="0" showInputMessage="0" showErrorMessage="0" allowBlank="1" type="list">
      <formula1>"Pendiente,En curso,Hecho,Movido,Cancelado"</formula1>
    </dataValidation>
    <dataValidation sqref="E6:E59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Sprint 4 · 2–8 nov · Diseñar el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Flujos TO-BE, bóveda del sistema, requisitos, matriz de herramientas, costos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IFERROR(COUNTIF(K6:K22,"Hecho")/(COUNTA(D6:D22)-COUNTIF(K6:K22,"Cancelado")),0)</f>
        <v/>
      </c>
      <c r="D3" s="13">
        <f>"Víctor: "&amp;TEXT(IFERROR((COUNTIFS(E6:E22,"Víctor",K6:K22,"Hecho")+COUNTIFS(E6:E22,"Ambos",K6:K22,"Hecho"))/(COUNTIF(E6:E22,"Víctor")+COUNTIF(E6:E22,"Ambos")),0),"0%")&amp;"   ·   Diego: "&amp;TEXT(IFERROR((COUNTIFS(E6:E22,"Diego",K6:K22,"Hecho")+COUNTIFS(E6:E22,"Ambos",K6:K22,"Hecho"))/(COUNTIF(E6:E22,"Diego")+COUNTIF(E6:E22,"Ambos")),0),"0%")&amp;"   ·   Horas: "&amp;TEXT(SUM(I6:I22),"0.0")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S4-T01</t>
        </is>
      </c>
      <c r="B6" s="22" t="n">
        <v>46328</v>
      </c>
      <c r="C6" s="23">
        <f>B6</f>
        <v/>
      </c>
      <c r="D6" s="15" t="inlineStr">
        <is>
          <t>Dibujar los procesos con el sistema (TO-BE), parte 1: recepción y asignación</t>
        </is>
      </c>
      <c r="E6" s="15" t="inlineStr">
        <is>
          <t>Diego</t>
        </is>
      </c>
      <c r="F6" s="15" t="inlineStr">
        <is>
          <t>07_Flujos_Diseno/</t>
        </is>
      </c>
      <c r="G6" s="15" t="inlineStr">
        <is>
          <t>TO-BE v0.1 (parte 1)</t>
        </is>
      </c>
      <c r="H6" s="15" t="inlineStr">
        <is>
          <t>Cada paso con disparador y responsable</t>
        </is>
      </c>
      <c r="I6" s="24" t="n">
        <v>2</v>
      </c>
      <c r="J6" s="22" t="n"/>
      <c r="K6" s="15" t="inlineStr">
        <is>
          <t>Pendiente</t>
        </is>
      </c>
      <c r="L6" s="15">
        <f>IF(K6="Cancelado","",IF(J6&lt;&gt;"",J6-B6,IF(AND(K6&lt;&gt;"Hecho",TODAY()&gt;B6),TODAY()-B6,0)))</f>
        <v/>
      </c>
      <c r="M6" s="15" t="inlineStr">
        <is>
          <t>S4-01 (#22)</t>
        </is>
      </c>
      <c r="N6" s="15" t="inlineStr"/>
    </row>
    <row r="7">
      <c r="A7" s="15" t="inlineStr">
        <is>
          <t>S4-T02</t>
        </is>
      </c>
      <c r="B7" s="22" t="n">
        <v>46328</v>
      </c>
      <c r="C7" s="23">
        <f>B7</f>
        <v/>
      </c>
      <c r="D7" s="15" t="inlineStr">
        <is>
          <t>Escribir los requisitos funcionales (qué debe hacer el sistema)</t>
        </is>
      </c>
      <c r="E7" s="15" t="inlineStr">
        <is>
          <t>Víctor</t>
        </is>
      </c>
      <c r="F7" s="15" t="inlineStr">
        <is>
          <t>06_Capitulos/</t>
        </is>
      </c>
      <c r="G7" s="15" t="inlineStr">
        <is>
          <t>Requisitos v0.1 (funcionales)</t>
        </is>
      </c>
      <c r="H7" s="15" t="inlineStr">
        <is>
          <t>Cada requisito con su origen</t>
        </is>
      </c>
      <c r="I7" s="24" t="n">
        <v>2</v>
      </c>
      <c r="J7" s="22" t="n"/>
      <c r="K7" s="15" t="inlineStr">
        <is>
          <t>Pendiente</t>
        </is>
      </c>
      <c r="L7" s="15">
        <f>IF(K7="Cancelado","",IF(J7&lt;&gt;"",J7-B7,IF(AND(K7&lt;&gt;"Hecho",TODAY()&gt;B7),TODAY()-B7,0)))</f>
        <v/>
      </c>
      <c r="M7" s="15" t="inlineStr">
        <is>
          <t>S4-04 (#25)</t>
        </is>
      </c>
      <c r="N7" s="15" t="inlineStr"/>
    </row>
    <row r="8">
      <c r="A8" s="15" t="inlineStr">
        <is>
          <t>S4-T03</t>
        </is>
      </c>
      <c r="B8" s="22" t="n">
        <v>46329</v>
      </c>
      <c r="C8" s="23">
        <f>B8</f>
        <v/>
      </c>
      <c r="D8" s="15" t="inlineStr">
        <is>
          <t>Dibujar los procesos TO-BE, parte 2: cotización asistida e historial</t>
        </is>
      </c>
      <c r="E8" s="15" t="inlineStr">
        <is>
          <t>Diego</t>
        </is>
      </c>
      <c r="F8" s="15" t="inlineStr">
        <is>
          <t>07_Flujos_Diseno/</t>
        </is>
      </c>
      <c r="G8" s="15" t="inlineStr">
        <is>
          <t>TO-BE v0.1 (parte 2)</t>
        </is>
      </c>
      <c r="H8" s="15" t="inlineStr">
        <is>
          <t>Cubre los pasos 3–4</t>
        </is>
      </c>
      <c r="I8" s="24" t="n">
        <v>2</v>
      </c>
      <c r="J8" s="22" t="n"/>
      <c r="K8" s="15" t="inlineStr">
        <is>
          <t>Pendiente</t>
        </is>
      </c>
      <c r="L8" s="15">
        <f>IF(K8="Cancelado","",IF(J8&lt;&gt;"",J8-B8,IF(AND(K8&lt;&gt;"Hecho",TODAY()&gt;B8),TODAY()-B8,0)))</f>
        <v/>
      </c>
      <c r="M8" s="15" t="inlineStr">
        <is>
          <t>S4-01 (#22)</t>
        </is>
      </c>
      <c r="N8" s="15" t="inlineStr"/>
    </row>
    <row r="9">
      <c r="A9" s="15" t="inlineStr">
        <is>
          <t>S4-T04</t>
        </is>
      </c>
      <c r="B9" s="22" t="n">
        <v>46329</v>
      </c>
      <c r="C9" s="23">
        <f>B9</f>
        <v/>
      </c>
      <c r="D9" s="15" t="inlineStr">
        <is>
          <t>Escribir los requisitos no funcionales (seguridad, sin conexión, ley de datos)</t>
        </is>
      </c>
      <c r="E9" s="15" t="inlineStr">
        <is>
          <t>Víctor</t>
        </is>
      </c>
      <c r="F9" s="15" t="inlineStr">
        <is>
          <t>06_Capitulos/</t>
        </is>
      </c>
      <c r="G9" s="15" t="inlineStr">
        <is>
          <t>06_Capitulos/2026-11-03_Requisitos_v0.1.docx</t>
        </is>
      </c>
      <c r="H9" s="15" t="inlineStr">
        <is>
          <t>Requisitos completos</t>
        </is>
      </c>
      <c r="I9" s="24" t="n">
        <v>2</v>
      </c>
      <c r="J9" s="22" t="n"/>
      <c r="K9" s="15" t="inlineStr">
        <is>
          <t>Pendiente</t>
        </is>
      </c>
      <c r="L9" s="15">
        <f>IF(K9="Cancelado","",IF(J9&lt;&gt;"",J9-B9,IF(AND(K9&lt;&gt;"Hecho",TODAY()&gt;B9),TODAY()-B9,0)))</f>
        <v/>
      </c>
      <c r="M9" s="15" t="inlineStr">
        <is>
          <t>S4-04 (#25)</t>
        </is>
      </c>
      <c r="N9" s="15" t="inlineStr"/>
    </row>
    <row r="10">
      <c r="A10" s="15" t="inlineStr">
        <is>
          <t>S4-T05</t>
        </is>
      </c>
      <c r="B10" s="22" t="n">
        <v>46330</v>
      </c>
      <c r="C10" s="23">
        <f>B10</f>
        <v/>
      </c>
      <c r="D10" s="15" t="inlineStr">
        <is>
          <t>Dibujar los procesos TO-BE, parte 3: recordatorios y reasignación</t>
        </is>
      </c>
      <c r="E10" s="15" t="inlineStr">
        <is>
          <t>Diego</t>
        </is>
      </c>
      <c r="F10" s="15" t="inlineStr">
        <is>
          <t>07_Flujos_Diseno/</t>
        </is>
      </c>
      <c r="G10" s="15" t="inlineStr">
        <is>
          <t>07_Flujos_Diseno/2026-11-04_TO-BE_v0.1</t>
        </is>
      </c>
      <c r="H10" s="15" t="inlineStr">
        <is>
          <t>Cubre los 6 pasos</t>
        </is>
      </c>
      <c r="I10" s="24" t="n">
        <v>2</v>
      </c>
      <c r="J10" s="22" t="n"/>
      <c r="K10" s="15" t="inlineStr">
        <is>
          <t>Pendiente</t>
        </is>
      </c>
      <c r="L10" s="15">
        <f>IF(K10="Cancelado","",IF(J10&lt;&gt;"",J10-B10,IF(AND(K10&lt;&gt;"Hecho",TODAY()&gt;B10),TODAY()-B10,0)))</f>
        <v/>
      </c>
      <c r="M10" s="15" t="inlineStr">
        <is>
          <t>S4-01 (#22)</t>
        </is>
      </c>
      <c r="N10" s="15" t="inlineStr"/>
    </row>
    <row r="11">
      <c r="A11" s="15" t="inlineStr">
        <is>
          <t>S4-T06</t>
        </is>
      </c>
      <c r="B11" s="22" t="n">
        <v>46330</v>
      </c>
      <c r="C11" s="23">
        <f>B11</f>
        <v/>
      </c>
      <c r="D11" s="15" t="inlineStr">
        <is>
          <t>Validar los flujos TO-BE contra los requisitos</t>
        </is>
      </c>
      <c r="E11" s="15" t="inlineStr">
        <is>
          <t>Víctor</t>
        </is>
      </c>
      <c r="F11" s="15" t="inlineStr">
        <is>
          <t>07_Flujos_Diseno/</t>
        </is>
      </c>
      <c r="G11" s="15" t="inlineStr">
        <is>
          <t>Comentarios en los flujos</t>
        </is>
      </c>
      <c r="H11" s="15" t="inlineStr">
        <is>
          <t>Cada requisito ligado a un flujo</t>
        </is>
      </c>
      <c r="I11" s="24" t="n">
        <v>1.5</v>
      </c>
      <c r="J11" s="22" t="n"/>
      <c r="K11" s="15" t="inlineStr">
        <is>
          <t>Pendiente</t>
        </is>
      </c>
      <c r="L11" s="15">
        <f>IF(K11="Cancelado","",IF(J11&lt;&gt;"",J11-B11,IF(AND(K11&lt;&gt;"Hecho",TODAY()&gt;B11),TODAY()-B11,0)))</f>
        <v/>
      </c>
      <c r="M11" s="15" t="inlineStr">
        <is>
          <t>S4-02 (#23)</t>
        </is>
      </c>
      <c r="N11" s="15" t="inlineStr"/>
    </row>
    <row r="12">
      <c r="A12" s="15" t="inlineStr">
        <is>
          <t>S4-T07</t>
        </is>
      </c>
      <c r="B12" s="22" t="n">
        <v>46331</v>
      </c>
      <c r="C12" s="23">
        <f>B12</f>
        <v/>
      </c>
      <c r="D12" s="15" t="inlineStr">
        <is>
          <t>Construir la bóveda del sistema: carpetas y plantillas</t>
        </is>
      </c>
      <c r="E12" s="15" t="inlineStr">
        <is>
          <t>Diego</t>
        </is>
      </c>
      <c r="F12" s="15" t="inlineStr">
        <is>
          <t>07_Flujos_Diseno/</t>
        </is>
      </c>
      <c r="G12" s="15" t="inlineStr">
        <is>
          <t>07_Flujos_Diseno/Boveda_Sistema/</t>
        </is>
      </c>
      <c r="H12" s="15" t="inlineStr">
        <is>
          <t>Estructura creada</t>
        </is>
      </c>
      <c r="I12" s="24" t="n">
        <v>2</v>
      </c>
      <c r="J12" s="22" t="n"/>
      <c r="K12" s="15" t="inlineStr">
        <is>
          <t>Pendiente</t>
        </is>
      </c>
      <c r="L12" s="15">
        <f>IF(K12="Cancelado","",IF(J12&lt;&gt;"",J12-B12,IF(AND(K12&lt;&gt;"Hecho",TODAY()&gt;B12),TODAY()-B12,0)))</f>
        <v/>
      </c>
      <c r="M12" s="15" t="inlineStr">
        <is>
          <t>S4-03 (#24)</t>
        </is>
      </c>
      <c r="N12" s="15" t="inlineStr"/>
    </row>
    <row r="13">
      <c r="A13" s="15" t="inlineStr">
        <is>
          <t>S4-T08</t>
        </is>
      </c>
      <c r="B13" s="22" t="n">
        <v>46331</v>
      </c>
      <c r="C13" s="23">
        <f>B13</f>
        <v/>
      </c>
      <c r="D13" s="15" t="inlineStr">
        <is>
          <t>Armar la matriz de decisión de herramientas en Excel (fórmulas vivas)</t>
        </is>
      </c>
      <c r="E13" s="15" t="inlineStr">
        <is>
          <t>Víctor</t>
        </is>
      </c>
      <c r="F13" s="15" t="inlineStr">
        <is>
          <t>06_Capitulos/Modelo_Negocio/</t>
        </is>
      </c>
      <c r="G13" s="15" t="inlineStr">
        <is>
          <t>06_Capitulos/Modelo_Negocio/2026-11-05_Matriz_Decision_Herramientas_v0.1.xlsx</t>
        </is>
      </c>
      <c r="H13" s="15" t="inlineStr">
        <is>
          <t>Ponderaciones y sensibilidad</t>
        </is>
      </c>
      <c r="I13" s="24" t="n">
        <v>2</v>
      </c>
      <c r="J13" s="22" t="n"/>
      <c r="K13" s="15" t="inlineStr">
        <is>
          <t>Pendiente</t>
        </is>
      </c>
      <c r="L13" s="15">
        <f>IF(K13="Cancelado","",IF(J13&lt;&gt;"",J13-B13,IF(AND(K13&lt;&gt;"Hecho",TODAY()&gt;B13),TODAY()-B13,0)))</f>
        <v/>
      </c>
      <c r="M13" s="15" t="inlineStr">
        <is>
          <t>S4-05 (#26)</t>
        </is>
      </c>
      <c r="N13" s="15" t="inlineStr"/>
    </row>
    <row r="14">
      <c r="A14" s="15" t="inlineStr">
        <is>
          <t>S4-T09</t>
        </is>
      </c>
      <c r="B14" s="22" t="n">
        <v>46332</v>
      </c>
      <c r="C14" s="23">
        <f>B14</f>
        <v/>
      </c>
      <c r="D14" s="15" t="inlineStr">
        <is>
          <t>Construir la bóveda del sistema: fichas de ejemplo con datos ficticios</t>
        </is>
      </c>
      <c r="E14" s="15" t="inlineStr">
        <is>
          <t>Diego</t>
        </is>
      </c>
      <c r="F14" s="15" t="inlineStr">
        <is>
          <t>07_Flujos_Diseno/</t>
        </is>
      </c>
      <c r="G14" s="15" t="inlineStr">
        <is>
          <t>Fichas CLI-0001…</t>
        </is>
      </c>
      <c r="H14" s="15" t="inlineStr">
        <is>
          <t>Plantillas funcionando</t>
        </is>
      </c>
      <c r="I14" s="24" t="n">
        <v>2</v>
      </c>
      <c r="J14" s="22" t="n"/>
      <c r="K14" s="15" t="inlineStr">
        <is>
          <t>Pendiente</t>
        </is>
      </c>
      <c r="L14" s="15">
        <f>IF(K14="Cancelado","",IF(J14&lt;&gt;"",J14-B14,IF(AND(K14&lt;&gt;"Hecho",TODAY()&gt;B14),TODAY()-B14,0)))</f>
        <v/>
      </c>
      <c r="M14" s="15" t="inlineStr">
        <is>
          <t>S4-03 (#24)</t>
        </is>
      </c>
      <c r="N14" s="15" t="inlineStr"/>
    </row>
    <row r="15">
      <c r="A15" s="15" t="inlineStr">
        <is>
          <t>S4-T10</t>
        </is>
      </c>
      <c r="B15" s="22" t="n">
        <v>46332</v>
      </c>
      <c r="C15" s="23">
        <f>B15</f>
        <v/>
      </c>
      <c r="D15" s="15" t="inlineStr">
        <is>
          <t>Calcular CAPEX (inversión inicial) con fuente para cada precio</t>
        </is>
      </c>
      <c r="E15" s="15" t="inlineStr">
        <is>
          <t>Víctor</t>
        </is>
      </c>
      <c r="F15" s="15" t="inlineStr">
        <is>
          <t>06_Capitulos/Modelo_Negocio/</t>
        </is>
      </c>
      <c r="G15" s="15" t="inlineStr">
        <is>
          <t>Hoja Costos del modelo financiero</t>
        </is>
      </c>
      <c r="H15" s="15" t="inlineStr">
        <is>
          <t>Cada precio con enlace y fecha</t>
        </is>
      </c>
      <c r="I15" s="24" t="n">
        <v>2</v>
      </c>
      <c r="J15" s="22" t="n"/>
      <c r="K15" s="15" t="inlineStr">
        <is>
          <t>Pendiente</t>
        </is>
      </c>
      <c r="L15" s="15">
        <f>IF(K15="Cancelado","",IF(J15&lt;&gt;"",J15-B15,IF(AND(K15&lt;&gt;"Hecho",TODAY()&gt;B15),TODAY()-B15,0)))</f>
        <v/>
      </c>
      <c r="M15" s="15" t="inlineStr">
        <is>
          <t>S4-06 (#27)</t>
        </is>
      </c>
      <c r="N15" s="15" t="inlineStr"/>
    </row>
    <row r="16">
      <c r="A16" s="15" t="inlineStr">
        <is>
          <t>S4-T11</t>
        </is>
      </c>
      <c r="B16" s="22" t="n">
        <v>46333</v>
      </c>
      <c r="C16" s="23">
        <f>B16</f>
        <v/>
      </c>
      <c r="D16" s="15" t="inlineStr">
        <is>
          <t>Construir la bóveda del sistema: tableros y enlaces</t>
        </is>
      </c>
      <c r="E16" s="15" t="inlineStr">
        <is>
          <t>Diego</t>
        </is>
      </c>
      <c r="F16" s="15" t="inlineStr">
        <is>
          <t>07_Flujos_Diseno/</t>
        </is>
      </c>
      <c r="G16" s="15" t="inlineStr">
        <is>
          <t>Tableros de pendientes</t>
        </is>
      </c>
      <c r="H16" s="15" t="inlineStr">
        <is>
          <t>Se ven los pendientes por vendedor</t>
        </is>
      </c>
      <c r="I16" s="24" t="n">
        <v>3</v>
      </c>
      <c r="J16" s="22" t="n"/>
      <c r="K16" s="15" t="inlineStr">
        <is>
          <t>Pendiente</t>
        </is>
      </c>
      <c r="L16" s="15">
        <f>IF(K16="Cancelado","",IF(J16&lt;&gt;"",J16-B16,IF(AND(K16&lt;&gt;"Hecho",TODAY()&gt;B16),TODAY()-B16,0)))</f>
        <v/>
      </c>
      <c r="M16" s="15" t="inlineStr">
        <is>
          <t>S4-03 (#24)</t>
        </is>
      </c>
      <c r="N16" s="15" t="inlineStr"/>
    </row>
    <row r="17">
      <c r="A17" s="15" t="inlineStr">
        <is>
          <t>S4-T12</t>
        </is>
      </c>
      <c r="B17" s="22" t="n">
        <v>46333</v>
      </c>
      <c r="C17" s="23">
        <f>B17</f>
        <v/>
      </c>
      <c r="D17" s="15" t="inlineStr">
        <is>
          <t>Calcular OPEX (gasto mensual) con fuente para cada precio</t>
        </is>
      </c>
      <c r="E17" s="15" t="inlineStr">
        <is>
          <t>Víctor</t>
        </is>
      </c>
      <c r="F17" s="15" t="inlineStr">
        <is>
          <t>06_Capitulos/Modelo_Negocio/</t>
        </is>
      </c>
      <c r="G17" s="15" t="inlineStr">
        <is>
          <t>06_Capitulos/Modelo_Negocio/2026-11-07_Modelo_Financiero_v0.1.xlsx</t>
        </is>
      </c>
      <c r="H17" s="15" t="inlineStr">
        <is>
          <t>Hoja Costos completa</t>
        </is>
      </c>
      <c r="I17" s="24" t="n">
        <v>3</v>
      </c>
      <c r="J17" s="22" t="n"/>
      <c r="K17" s="15" t="inlineStr">
        <is>
          <t>Pendiente</t>
        </is>
      </c>
      <c r="L17" s="15">
        <f>IF(K17="Cancelado","",IF(J17&lt;&gt;"",J17-B17,IF(AND(K17&lt;&gt;"Hecho",TODAY()&gt;B17),TODAY()-B17,0)))</f>
        <v/>
      </c>
      <c r="M17" s="15" t="inlineStr">
        <is>
          <t>S4-06 (#27)</t>
        </is>
      </c>
      <c r="N17" s="15" t="inlineStr"/>
    </row>
    <row r="18">
      <c r="A18" s="15" t="inlineStr">
        <is>
          <t>S4-T13</t>
        </is>
      </c>
      <c r="B18" s="22" t="n">
        <v>46334</v>
      </c>
      <c r="C18" s="23">
        <f>B18</f>
        <v/>
      </c>
      <c r="D18" s="15" t="inlineStr">
        <is>
          <t>Escribir un resumen de 1 página para Víctor de la bóveda del sistema</t>
        </is>
      </c>
      <c r="E18" s="15" t="inlineStr">
        <is>
          <t>Diego</t>
        </is>
      </c>
      <c r="F18" s="15" t="inlineStr">
        <is>
          <t>07_Flujos_Diseno/</t>
        </is>
      </c>
      <c r="G18" s="15" t="inlineStr">
        <is>
          <t>07_Flujos_Diseno/2026-11-08_Resumen_Boveda_Sistema.md</t>
        </is>
      </c>
      <c r="H18" s="15" t="inlineStr">
        <is>
          <t>Víctor lo leyó</t>
        </is>
      </c>
      <c r="I18" s="24" t="n">
        <v>0.5</v>
      </c>
      <c r="J18" s="22" t="n"/>
      <c r="K18" s="15" t="inlineStr">
        <is>
          <t>Pendiente</t>
        </is>
      </c>
      <c r="L18" s="15">
        <f>IF(K18="Cancelado","",IF(J18&lt;&gt;"",J18-B18,IF(AND(K18&lt;&gt;"Hecho",TODAY()&gt;B18),TODAY()-B18,0)))</f>
        <v/>
      </c>
      <c r="M18" s="15" t="inlineStr">
        <is>
          <t>S4-03 (#24)</t>
        </is>
      </c>
      <c r="N18" s="15" t="inlineStr"/>
    </row>
    <row r="19">
      <c r="A19" s="15" t="inlineStr">
        <is>
          <t>S4-T14</t>
        </is>
      </c>
      <c r="B19" s="22" t="n">
        <v>46334</v>
      </c>
      <c r="C19" s="23">
        <f>B19</f>
        <v/>
      </c>
      <c r="D19" s="15" t="inlineStr">
        <is>
          <t>Escribir un resumen de 1 página para Diego de requisitos y costos</t>
        </is>
      </c>
      <c r="E19" s="15" t="inlineStr">
        <is>
          <t>Víctor</t>
        </is>
      </c>
      <c r="F19" s="15" t="inlineStr">
        <is>
          <t>06_Capitulos/Modelo_Negocio/</t>
        </is>
      </c>
      <c r="G19" s="15" t="inlineStr">
        <is>
          <t>06_Capitulos/Modelo_Negocio/2026-11-08_Resumen_Costos.md</t>
        </is>
      </c>
      <c r="H19" s="15" t="inlineStr">
        <is>
          <t>Diego lo leyó</t>
        </is>
      </c>
      <c r="I19" s="24" t="n">
        <v>0.5</v>
      </c>
      <c r="J19" s="22" t="n"/>
      <c r="K19" s="15" t="inlineStr">
        <is>
          <t>Pendiente</t>
        </is>
      </c>
      <c r="L19" s="15">
        <f>IF(K19="Cancelado","",IF(J19&lt;&gt;"",J19-B19,IF(AND(K19&lt;&gt;"Hecho",TODAY()&gt;B19),TODAY()-B19,0)))</f>
        <v/>
      </c>
      <c r="M19" s="15" t="inlineStr">
        <is>
          <t>S4-06 (#27)</t>
        </is>
      </c>
      <c r="N19" s="15" t="inlineStr"/>
    </row>
    <row r="20">
      <c r="A20" s="15" t="inlineStr">
        <is>
          <t>S4-T15</t>
        </is>
      </c>
      <c r="B20" s="22" t="n">
        <v>46334</v>
      </c>
      <c r="C20" s="23">
        <f>B20</f>
        <v/>
      </c>
      <c r="D20" s="15" t="inlineStr">
        <is>
          <t>Revisar el sprint (qué hicimos, qué no, qué aprendimos), hacer 20 min de «explícame lo tuyo» y planificar el siguiente</t>
        </is>
      </c>
      <c r="E20" s="15" t="inlineStr">
        <is>
          <t>Ambos</t>
        </is>
      </c>
      <c r="F20" s="15" t="inlineStr">
        <is>
          <t>Llamada Víctor–Diego · 11_Planificacion/Bitacora_Semanal.md y 11_Planificacion/Cronograma_Tesis.xlsx</t>
        </is>
      </c>
      <c r="G20" s="15" t="inlineStr">
        <is>
          <t>Sección de la semana en la bitácora + hoja del sprint siguiente ajustada</t>
        </is>
      </c>
      <c r="H20" s="15" t="inlineStr">
        <is>
          <t>El informe del domingo (21:00) sale con la sección nueva</t>
        </is>
      </c>
      <c r="I20" s="24" t="n">
        <v>1</v>
      </c>
      <c r="J20" s="22" t="n"/>
      <c r="K20" s="15" t="inlineStr">
        <is>
          <t>Pendiente</t>
        </is>
      </c>
      <c r="L20" s="15">
        <f>IF(K20="Cancelado","",IF(J20&lt;&gt;"",J20-B20,IF(AND(K20&lt;&gt;"Hecho",TODAY()&gt;B20),TODAY()-B20,0)))</f>
        <v/>
      </c>
      <c r="M20" s="15" t="inlineStr">
        <is>
          <t>S4-07 (#62)</t>
        </is>
      </c>
      <c r="N20" s="15" t="inlineStr"/>
    </row>
    <row r="21">
      <c r="A21" s="15" t="inlineStr">
        <is>
          <t>S4-T16</t>
        </is>
      </c>
      <c r="B21" s="22" t="n">
        <v>46329</v>
      </c>
      <c r="C21" s="23">
        <f>B21</f>
        <v/>
      </c>
      <c r="D21" s="15" t="inlineStr">
        <is>
          <t>Hacer el campo en Torvesa (si autorizó): cronometrar cotizaciones (P2-A) y revisar solicitudes de los últimos 3 meses (P2-B)</t>
        </is>
      </c>
      <c r="E21" s="15" t="inlineStr">
        <is>
          <t>Diego</t>
        </is>
      </c>
      <c r="F21" s="15" t="inlineStr">
        <is>
          <t>Torvesa (oficina, Quito)</t>
        </is>
      </c>
      <c r="G21" s="15" t="inlineStr">
        <is>
          <t>05_Datos_Campo/LineaBase_2026-10/P2A_cronometraje.csv y P2B_muestra_documental.csv</t>
        </is>
      </c>
      <c r="H21" s="15" t="inlineStr">
        <is>
          <t>Todas las cotizaciones observables registradas</t>
        </is>
      </c>
      <c r="I21" s="24" t="n">
        <v>4</v>
      </c>
      <c r="J21" s="22" t="n"/>
      <c r="K21" s="15" t="inlineStr">
        <is>
          <t>Pendiente</t>
        </is>
      </c>
      <c r="L21" s="15">
        <f>IF(K21="Cancelado","",IF(J21&lt;&gt;"",J21-B21,IF(AND(K21&lt;&gt;"Hecho",TODAY()&gt;B21),TODAY()-B21,0)))</f>
        <v/>
      </c>
      <c r="M21" s="15" t="inlineStr">
        <is>
          <t>S1-09 (#9)</t>
        </is>
      </c>
      <c r="N21" s="15" t="inlineStr">
        <is>
          <t>Copia de S1-T16 y S1-T18 (reprogramada 27-oct). Solo si Torvesa autorizó. Día cargado: S4-T03 se termina el 8-nov si hace falta</t>
        </is>
      </c>
    </row>
    <row r="22">
      <c r="A22" s="15" t="inlineStr">
        <is>
          <t>S4-T17</t>
        </is>
      </c>
      <c r="B22" s="22" t="n">
        <v>46334</v>
      </c>
      <c r="C22" s="23">
        <f>B22</f>
        <v/>
      </c>
      <c r="D22" s="15" t="inlineStr">
        <is>
          <t>Analizar los datos de campo y preparar las gráficas de la línea base (M1–M4 y M6)</t>
        </is>
      </c>
      <c r="E22" s="15" t="inlineStr">
        <is>
          <t>Diego</t>
        </is>
      </c>
      <c r="F22" s="15" t="inlineStr">
        <is>
          <t>05_Datos_Campo/LineaBase_2026-10/</t>
        </is>
      </c>
      <c r="G22" s="15" t="inlineStr">
        <is>
          <t>05_Datos_Campo/LineaBase_2026-10/analisis/ (Resultados_LineaBase_v0.1.md + figuras/)</t>
        </is>
      </c>
      <c r="H22" s="15" t="inlineStr">
        <is>
          <t>Víctor entiende cada número</t>
        </is>
      </c>
      <c r="I22" s="24" t="n">
        <v>2</v>
      </c>
      <c r="J22" s="22" t="n"/>
      <c r="K22" s="15" t="inlineStr">
        <is>
          <t>Pendiente</t>
        </is>
      </c>
      <c r="L22" s="15">
        <f>IF(K22="Cancelado","",IF(J22&lt;&gt;"",J22-B22,IF(AND(K22&lt;&gt;"Hecho",TODAY()&gt;B22),TODAY()-B22,0)))</f>
        <v/>
      </c>
      <c r="M22" s="15" t="inlineStr">
        <is>
          <t>S2-04 (#16)</t>
        </is>
      </c>
      <c r="N22" s="15" t="inlineStr">
        <is>
          <t>Copia de S2-T02, S2-T04 y S2-T17 (reprogramada 27-oct). Solo si hubo campo</t>
        </is>
      </c>
    </row>
  </sheetData>
  <autoFilter ref="A5:N22"/>
  <conditionalFormatting sqref="A6:N20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conditionalFormatting sqref="A21:N22">
    <cfRule type="expression" priority="5" dxfId="1" stopIfTrue="1">
      <formula>$K21="Hecho"</formula>
    </cfRule>
    <cfRule type="expression" priority="6" dxfId="2" stopIfTrue="1">
      <formula>$K21="Movido"</formula>
    </cfRule>
    <cfRule type="expression" priority="7" dxfId="0" stopIfTrue="1">
      <formula>AND($K21&lt;&gt;"Cancelado",$L21&lt;&gt;"",$L21&gt;0)</formula>
    </cfRule>
    <cfRule type="expression" priority="8" dxfId="3">
      <formula>$K21="Cancelado"</formula>
    </cfRule>
  </conditionalFormatting>
  <dataValidations count="2">
    <dataValidation sqref="K6:K60" showDropDown="0" showInputMessage="0" showErrorMessage="0" allowBlank="1" type="list">
      <formula1>"Pendiente,En curso,Hecho,Movido,Cancelado"</formula1>
    </dataValidation>
    <dataValidation sqref="E6:E60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Sprint 5 · 9–15 nov · Prueba de concepto y finanzas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Diego construye la prueba de concepto; Víctor calcula VAN, TIR y riesgos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IFERROR(COUNTIF(K6:K20,"Hecho")/(COUNTA(D6:D20)-COUNTIF(K6:K20,"Cancelado")),0)</f>
        <v/>
      </c>
      <c r="D3" s="13">
        <f>"Víctor: "&amp;TEXT(IFERROR((COUNTIFS(E6:E20,"Víctor",K6:K20,"Hecho")+COUNTIFS(E6:E20,"Ambos",K6:K20,"Hecho"))/(COUNTIF(E6:E20,"Víctor")+COUNTIF(E6:E20,"Ambos")),0),"0%")&amp;"   ·   Diego: "&amp;TEXT(IFERROR((COUNTIFS(E6:E20,"Diego",K6:K20,"Hecho")+COUNTIFS(E6:E20,"Ambos",K6:K20,"Hecho"))/(COUNTIF(E6:E20,"Diego")+COUNTIF(E6:E20,"Ambos")),0),"0%")&amp;"   ·   Horas: "&amp;TEXT(SUM(I6:I20),"0.0")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S5-T01</t>
        </is>
      </c>
      <c r="B6" s="22" t="n">
        <v>46335</v>
      </c>
      <c r="C6" s="23">
        <f>B6</f>
        <v/>
      </c>
      <c r="D6" s="15" t="inlineStr">
        <is>
          <t>Estimar los beneficios con supuestos explícitos (horas ahorradas, clientes no perdidos)</t>
        </is>
      </c>
      <c r="E6" s="15" t="inlineStr">
        <is>
          <t>Víctor</t>
        </is>
      </c>
      <c r="F6" s="15" t="inlineStr">
        <is>
          <t>06_Capitulos/Modelo_Negocio/</t>
        </is>
      </c>
      <c r="G6" s="15" t="inlineStr">
        <is>
          <t>Hoja Beneficios</t>
        </is>
      </c>
      <c r="H6" s="15" t="inlineStr">
        <is>
          <t>Cada supuesto con fuente o dato de campo</t>
        </is>
      </c>
      <c r="I6" s="24" t="n">
        <v>2</v>
      </c>
      <c r="J6" s="22" t="n"/>
      <c r="K6" s="15" t="inlineStr">
        <is>
          <t>Pendiente</t>
        </is>
      </c>
      <c r="L6" s="15">
        <f>IF(K6="Cancelado","",IF(J6&lt;&gt;"",J6-B6,IF(AND(K6&lt;&gt;"Hecho",TODAY()&gt;B6),TODAY()-B6,0)))</f>
        <v/>
      </c>
      <c r="M6" s="15" t="inlineStr">
        <is>
          <t>S5-01 (#28)</t>
        </is>
      </c>
      <c r="N6" s="15" t="inlineStr"/>
    </row>
    <row r="7">
      <c r="A7" s="15" t="inlineStr">
        <is>
          <t>S5-T02</t>
        </is>
      </c>
      <c r="B7" s="22" t="n">
        <v>46335</v>
      </c>
      <c r="C7" s="23">
        <f>B7</f>
        <v/>
      </c>
      <c r="D7" s="15" t="inlineStr">
        <is>
          <t>Construir la prueba de concepto, parte 1: formulario → servidor</t>
        </is>
      </c>
      <c r="E7" s="15" t="inlineStr">
        <is>
          <t>Diego</t>
        </is>
      </c>
      <c r="F7" s="15" t="inlineStr">
        <is>
          <t>Repositorio de la prueba de concepto</t>
        </is>
      </c>
      <c r="G7" s="15" t="inlineStr">
        <is>
          <t>Formulario guarda en la base de datos</t>
        </is>
      </c>
      <c r="H7" s="15" t="inlineStr">
        <is>
          <t>Demo funcionando</t>
        </is>
      </c>
      <c r="I7" s="24" t="n">
        <v>2</v>
      </c>
      <c r="J7" s="22" t="n"/>
      <c r="K7" s="15" t="inlineStr">
        <is>
          <t>Pendiente</t>
        </is>
      </c>
      <c r="L7" s="15">
        <f>IF(K7="Cancelado","",IF(J7&lt;&gt;"",J7-B7,IF(AND(K7&lt;&gt;"Hecho",TODAY()&gt;B7),TODAY()-B7,0)))</f>
        <v/>
      </c>
      <c r="M7" s="15" t="inlineStr">
        <is>
          <t>S5-04 (#31)</t>
        </is>
      </c>
      <c r="N7" s="15" t="inlineStr"/>
    </row>
    <row r="8">
      <c r="A8" s="15" t="inlineStr">
        <is>
          <t>S5-T03</t>
        </is>
      </c>
      <c r="B8" s="22" t="n">
        <v>46336</v>
      </c>
      <c r="C8" s="23">
        <f>B8</f>
        <v/>
      </c>
      <c r="D8" s="15" t="inlineStr">
        <is>
          <t>Calcular VAN, TIR y período de recuperación en 3 escenarios</t>
        </is>
      </c>
      <c r="E8" s="15" t="inlineStr">
        <is>
          <t>Víctor</t>
        </is>
      </c>
      <c r="F8" s="15" t="inlineStr">
        <is>
          <t>06_Capitulos/Modelo_Negocio/</t>
        </is>
      </c>
      <c r="G8" s="15" t="inlineStr">
        <is>
          <t>Hoja Escenarios</t>
        </is>
      </c>
      <c r="H8" s="15" t="inlineStr">
        <is>
          <t>Pesimista, base y optimista</t>
        </is>
      </c>
      <c r="I8" s="24" t="n">
        <v>2</v>
      </c>
      <c r="J8" s="22" t="n"/>
      <c r="K8" s="15" t="inlineStr">
        <is>
          <t>Pendiente</t>
        </is>
      </c>
      <c r="L8" s="15">
        <f>IF(K8="Cancelado","",IF(J8&lt;&gt;"",J8-B8,IF(AND(K8&lt;&gt;"Hecho",TODAY()&gt;B8),TODAY()-B8,0)))</f>
        <v/>
      </c>
      <c r="M8" s="15" t="inlineStr">
        <is>
          <t>S5-01 (#28)</t>
        </is>
      </c>
      <c r="N8" s="15" t="inlineStr"/>
    </row>
    <row r="9">
      <c r="A9" s="15" t="inlineStr">
        <is>
          <t>S5-T04</t>
        </is>
      </c>
      <c r="B9" s="22" t="n">
        <v>46336</v>
      </c>
      <c r="C9" s="23">
        <f>B9</f>
        <v/>
      </c>
      <c r="D9" s="15" t="inlineStr">
        <is>
          <t>Construir la prueba de concepto, parte 2: servidor → bóveda</t>
        </is>
      </c>
      <c r="E9" s="15" t="inlineStr">
        <is>
          <t>Diego</t>
        </is>
      </c>
      <c r="F9" s="15" t="inlineStr">
        <is>
          <t>Repositorio de la prueba de concepto</t>
        </is>
      </c>
      <c r="G9" s="15" t="inlineStr">
        <is>
          <t>La ficha del cliente aparece en la bóveda</t>
        </is>
      </c>
      <c r="H9" s="15" t="inlineStr">
        <is>
          <t>Demo funcionando</t>
        </is>
      </c>
      <c r="I9" s="24" t="n">
        <v>2</v>
      </c>
      <c r="J9" s="22" t="n"/>
      <c r="K9" s="15" t="inlineStr">
        <is>
          <t>Pendiente</t>
        </is>
      </c>
      <c r="L9" s="15">
        <f>IF(K9="Cancelado","",IF(J9&lt;&gt;"",J9-B9,IF(AND(K9&lt;&gt;"Hecho",TODAY()&gt;B9),TODAY()-B9,0)))</f>
        <v/>
      </c>
      <c r="M9" s="15" t="inlineStr">
        <is>
          <t>S5-04 (#31)</t>
        </is>
      </c>
      <c r="N9" s="15" t="inlineStr"/>
    </row>
    <row r="10">
      <c r="A10" s="15" t="inlineStr">
        <is>
          <t>S5-T05</t>
        </is>
      </c>
      <c r="B10" s="22" t="n">
        <v>46337</v>
      </c>
      <c r="C10" s="23">
        <f>B10</f>
        <v/>
      </c>
      <c r="D10" s="15" t="inlineStr">
        <is>
          <t>Hacer el análisis de sensibilidad (qué pasa si cambian los supuestos)</t>
        </is>
      </c>
      <c r="E10" s="15" t="inlineStr">
        <is>
          <t>Víctor</t>
        </is>
      </c>
      <c r="F10" s="15" t="inlineStr">
        <is>
          <t>06_Capitulos/Modelo_Negocio/</t>
        </is>
      </c>
      <c r="G10" s="15" t="inlineStr">
        <is>
          <t>Hoja Sensibilidad</t>
        </is>
      </c>
      <c r="H10" s="15" t="inlineStr">
        <is>
          <t>Tabla y gráfico</t>
        </is>
      </c>
      <c r="I10" s="24" t="n">
        <v>2</v>
      </c>
      <c r="J10" s="22" t="n"/>
      <c r="K10" s="15" t="inlineStr">
        <is>
          <t>Pendiente</t>
        </is>
      </c>
      <c r="L10" s="15">
        <f>IF(K10="Cancelado","",IF(J10&lt;&gt;"",J10-B10,IF(AND(K10&lt;&gt;"Hecho",TODAY()&gt;B10),TODAY()-B10,0)))</f>
        <v/>
      </c>
      <c r="M10" s="15" t="inlineStr">
        <is>
          <t>S5-01 (#28)</t>
        </is>
      </c>
      <c r="N10" s="15" t="inlineStr"/>
    </row>
    <row r="11">
      <c r="A11" s="15" t="inlineStr">
        <is>
          <t>S5-T06</t>
        </is>
      </c>
      <c r="B11" s="22" t="n">
        <v>46337</v>
      </c>
      <c r="C11" s="23">
        <f>B11</f>
        <v/>
      </c>
      <c r="D11" s="15" t="inlineStr">
        <is>
          <t>Construir la prueba de concepto, parte 3: borrador de cotización con IA</t>
        </is>
      </c>
      <c r="E11" s="15" t="inlineStr">
        <is>
          <t>Diego</t>
        </is>
      </c>
      <c r="F11" s="15" t="inlineStr">
        <is>
          <t>Repositorio de la prueba de concepto</t>
        </is>
      </c>
      <c r="G11" s="15" t="inlineStr">
        <is>
          <t>Borrador generado desde la bóveda</t>
        </is>
      </c>
      <c r="H11" s="15" t="inlineStr">
        <is>
          <t>Demo funcionando</t>
        </is>
      </c>
      <c r="I11" s="24" t="n">
        <v>2</v>
      </c>
      <c r="J11" s="22" t="n"/>
      <c r="K11" s="15" t="inlineStr">
        <is>
          <t>Pendiente</t>
        </is>
      </c>
      <c r="L11" s="15">
        <f>IF(K11="Cancelado","",IF(J11&lt;&gt;"",J11-B11,IF(AND(K11&lt;&gt;"Hecho",TODAY()&gt;B11),TODAY()-B11,0)))</f>
        <v/>
      </c>
      <c r="M11" s="15" t="inlineStr">
        <is>
          <t>S5-04 (#31)</t>
        </is>
      </c>
      <c r="N11" s="15" t="inlineStr"/>
    </row>
    <row r="12">
      <c r="A12" s="15" t="inlineStr">
        <is>
          <t>S5-T07</t>
        </is>
      </c>
      <c r="B12" s="22" t="n">
        <v>46338</v>
      </c>
      <c r="C12" s="23">
        <f>B12</f>
        <v/>
      </c>
      <c r="D12" s="15" t="inlineStr">
        <is>
          <t>Escribir la matriz de riesgos</t>
        </is>
      </c>
      <c r="E12" s="15" t="inlineStr">
        <is>
          <t>Víctor</t>
        </is>
      </c>
      <c r="F12" s="15" t="inlineStr">
        <is>
          <t>06_Capitulos/</t>
        </is>
      </c>
      <c r="G12" s="15" t="inlineStr">
        <is>
          <t>06_Capitulos/2026-11-12_Riesgos_v0.1.xlsx</t>
        </is>
      </c>
      <c r="H12" s="15" t="inlineStr">
        <is>
          <t>Probabilidad × impacto + mitigación</t>
        </is>
      </c>
      <c r="I12" s="24" t="n">
        <v>2</v>
      </c>
      <c r="J12" s="22" t="n"/>
      <c r="K12" s="15" t="inlineStr">
        <is>
          <t>Pendiente</t>
        </is>
      </c>
      <c r="L12" s="15">
        <f>IF(K12="Cancelado","",IF(J12&lt;&gt;"",J12-B12,IF(AND(K12&lt;&gt;"Hecho",TODAY()&gt;B12),TODAY()-B12,0)))</f>
        <v/>
      </c>
      <c r="M12" s="15" t="inlineStr">
        <is>
          <t>S5-02 (#29)</t>
        </is>
      </c>
      <c r="N12" s="15" t="inlineStr"/>
    </row>
    <row r="13">
      <c r="A13" s="15" t="inlineStr">
        <is>
          <t>S5-T08</t>
        </is>
      </c>
      <c r="B13" s="22" t="n">
        <v>46338</v>
      </c>
      <c r="C13" s="23">
        <f>B13</f>
        <v/>
      </c>
      <c r="D13" s="15" t="inlineStr">
        <is>
          <t>Construir la prueba de concepto, parte 4: alertas y registro de eventos</t>
        </is>
      </c>
      <c r="E13" s="15" t="inlineStr">
        <is>
          <t>Diego</t>
        </is>
      </c>
      <c r="F13" s="15" t="inlineStr">
        <is>
          <t>Repositorio de la prueba de concepto</t>
        </is>
      </c>
      <c r="G13" s="15" t="inlineStr">
        <is>
          <t>Eventos registrados</t>
        </is>
      </c>
      <c r="H13" s="15" t="inlineStr">
        <is>
          <t>Demo funcionando</t>
        </is>
      </c>
      <c r="I13" s="24" t="n">
        <v>2</v>
      </c>
      <c r="J13" s="22" t="n"/>
      <c r="K13" s="15" t="inlineStr">
        <is>
          <t>Pendiente</t>
        </is>
      </c>
      <c r="L13" s="15">
        <f>IF(K13="Cancelado","",IF(J13&lt;&gt;"",J13-B13,IF(AND(K13&lt;&gt;"Hecho",TODAY()&gt;B13),TODAY()-B13,0)))</f>
        <v/>
      </c>
      <c r="M13" s="15" t="inlineStr">
        <is>
          <t>S5-04 (#31)</t>
        </is>
      </c>
      <c r="N13" s="15" t="inlineStr"/>
    </row>
    <row r="14">
      <c r="A14" s="15" t="inlineStr">
        <is>
          <t>S5-T09</t>
        </is>
      </c>
      <c r="B14" s="22" t="n">
        <v>46339</v>
      </c>
      <c r="C14" s="23">
        <f>B14</f>
        <v/>
      </c>
      <c r="D14" s="15" t="inlineStr">
        <is>
          <t>Escribir el capítulo de normativa (LOPDP)</t>
        </is>
      </c>
      <c r="E14" s="15" t="inlineStr">
        <is>
          <t>Víctor</t>
        </is>
      </c>
      <c r="F14" s="15" t="inlineStr">
        <is>
          <t>06_Capitulos/</t>
        </is>
      </c>
      <c r="G14" s="15" t="inlineStr">
        <is>
          <t>06_Capitulos/2026-11-13_Normativa_v0.1.docx</t>
        </is>
      </c>
      <c r="H14" s="15" t="inlineStr">
        <is>
          <t>Artículos del texto oficial</t>
        </is>
      </c>
      <c r="I14" s="24" t="n">
        <v>2</v>
      </c>
      <c r="J14" s="22" t="n"/>
      <c r="K14" s="15" t="inlineStr">
        <is>
          <t>Pendiente</t>
        </is>
      </c>
      <c r="L14" s="15">
        <f>IF(K14="Cancelado","",IF(J14&lt;&gt;"",J14-B14,IF(AND(K14&lt;&gt;"Hecho",TODAY()&gt;B14),TODAY()-B14,0)))</f>
        <v/>
      </c>
      <c r="M14" s="15" t="inlineStr">
        <is>
          <t>S5-03 (#30)</t>
        </is>
      </c>
      <c r="N14" s="15" t="inlineStr"/>
    </row>
    <row r="15">
      <c r="A15" s="15" t="inlineStr">
        <is>
          <t>S5-T10</t>
        </is>
      </c>
      <c r="B15" s="22" t="n">
        <v>46339</v>
      </c>
      <c r="C15" s="23">
        <f>B15</f>
        <v/>
      </c>
      <c r="D15" s="15" t="inlineStr">
        <is>
          <t>Probar la prueba de concepto completa y corregir errores</t>
        </is>
      </c>
      <c r="E15" s="15" t="inlineStr">
        <is>
          <t>Diego</t>
        </is>
      </c>
      <c r="F15" s="15" t="inlineStr">
        <is>
          <t>Repositorio de la prueba de concepto</t>
        </is>
      </c>
      <c r="G15" s="15" t="inlineStr">
        <is>
          <t>Flujo completo sin errores</t>
        </is>
      </c>
      <c r="H15" s="15" t="inlineStr">
        <is>
          <t>Demo de punta a punta</t>
        </is>
      </c>
      <c r="I15" s="24" t="n">
        <v>2</v>
      </c>
      <c r="J15" s="22" t="n"/>
      <c r="K15" s="15" t="inlineStr">
        <is>
          <t>Pendiente</t>
        </is>
      </c>
      <c r="L15" s="15">
        <f>IF(K15="Cancelado","",IF(J15&lt;&gt;"",J15-B15,IF(AND(K15&lt;&gt;"Hecho",TODAY()&gt;B15),TODAY()-B15,0)))</f>
        <v/>
      </c>
      <c r="M15" s="15" t="inlineStr">
        <is>
          <t>S5-04 (#31)</t>
        </is>
      </c>
      <c r="N15" s="15" t="inlineStr"/>
    </row>
    <row r="16">
      <c r="A16" s="15" t="inlineStr">
        <is>
          <t>S5-T11</t>
        </is>
      </c>
      <c r="B16" s="22" t="n">
        <v>46340</v>
      </c>
      <c r="C16" s="23">
        <f>B16</f>
        <v/>
      </c>
      <c r="D16" s="15" t="inlineStr">
        <is>
          <t>Escribir el pitch de 1 página para inversionista</t>
        </is>
      </c>
      <c r="E16" s="15" t="inlineStr">
        <is>
          <t>Víctor</t>
        </is>
      </c>
      <c r="F16" s="15" t="inlineStr">
        <is>
          <t>06_Capitulos/Modelo_Negocio/</t>
        </is>
      </c>
      <c r="G16" s="15" t="inlineStr">
        <is>
          <t>06_Capitulos/Modelo_Negocio/2026-11-14_Pitch_1pagina_v0.1.docx</t>
        </is>
      </c>
      <c r="H16" s="15" t="inlineStr">
        <is>
          <t>Una página con VAN, TIR y propuesta de valor</t>
        </is>
      </c>
      <c r="I16" s="24" t="n">
        <v>2</v>
      </c>
      <c r="J16" s="22" t="n"/>
      <c r="K16" s="15" t="inlineStr">
        <is>
          <t>Pendiente</t>
        </is>
      </c>
      <c r="L16" s="15">
        <f>IF(K16="Cancelado","",IF(J16&lt;&gt;"",J16-B16,IF(AND(K16&lt;&gt;"Hecho",TODAY()&gt;B16),TODAY()-B16,0)))</f>
        <v/>
      </c>
      <c r="M16" s="15" t="inlineStr">
        <is>
          <t>S5-06 (#63)</t>
        </is>
      </c>
      <c r="N16" s="15" t="inlineStr"/>
    </row>
    <row r="17">
      <c r="A17" s="15" t="inlineStr">
        <is>
          <t>S5-T12</t>
        </is>
      </c>
      <c r="B17" s="22" t="n">
        <v>46340</v>
      </c>
      <c r="C17" s="23">
        <f>B17</f>
        <v/>
      </c>
      <c r="D17" s="15" t="inlineStr">
        <is>
          <t>Terminar el capítulo de normativa</t>
        </is>
      </c>
      <c r="E17" s="15" t="inlineStr">
        <is>
          <t>Víctor</t>
        </is>
      </c>
      <c r="F17" s="15" t="inlineStr">
        <is>
          <t>06_Capitulos/</t>
        </is>
      </c>
      <c r="G17" s="15" t="inlineStr">
        <is>
          <t>Normativa v0.1 completa</t>
        </is>
      </c>
      <c r="H17" s="15" t="inlineStr">
        <is>
          <t>Revisado una vez</t>
        </is>
      </c>
      <c r="I17" s="24" t="n">
        <v>1.5</v>
      </c>
      <c r="J17" s="22" t="n"/>
      <c r="K17" s="15" t="inlineStr">
        <is>
          <t>Pendiente</t>
        </is>
      </c>
      <c r="L17" s="15">
        <f>IF(K17="Cancelado","",IF(J17&lt;&gt;"",J17-B17,IF(AND(K17&lt;&gt;"Hecho",TODAY()&gt;B17),TODAY()-B17,0)))</f>
        <v/>
      </c>
      <c r="M17" s="15" t="inlineStr">
        <is>
          <t>S5-03 (#30)</t>
        </is>
      </c>
      <c r="N17" s="15" t="inlineStr"/>
    </row>
    <row r="18">
      <c r="A18" s="15" t="inlineStr">
        <is>
          <t>S5-T13</t>
        </is>
      </c>
      <c r="B18" s="22" t="n">
        <v>46340</v>
      </c>
      <c r="C18" s="23">
        <f>B18</f>
        <v/>
      </c>
      <c r="D18" s="15" t="inlineStr">
        <is>
          <t>Diseñar los 3 casos de prueba</t>
        </is>
      </c>
      <c r="E18" s="15" t="inlineStr">
        <is>
          <t>Diego</t>
        </is>
      </c>
      <c r="F18" s="15" t="inlineStr">
        <is>
          <t>07_Flujos_Diseno/</t>
        </is>
      </c>
      <c r="G18" s="15" t="inlineStr">
        <is>
          <t>07_Flujos_Diseno/2026-11-14_Casos_Prueba_v0.1.md</t>
        </is>
      </c>
      <c r="H18" s="15" t="inlineStr">
        <is>
          <t>Cada caso con criterio de aceptación</t>
        </is>
      </c>
      <c r="I18" s="24" t="n">
        <v>3</v>
      </c>
      <c r="J18" s="22" t="n"/>
      <c r="K18" s="15" t="inlineStr">
        <is>
          <t>Pendiente</t>
        </is>
      </c>
      <c r="L18" s="15">
        <f>IF(K18="Cancelado","",IF(J18&lt;&gt;"",J18-B18,IF(AND(K18&lt;&gt;"Hecho",TODAY()&gt;B18),TODAY()-B18,0)))</f>
        <v/>
      </c>
      <c r="M18" s="15" t="inlineStr">
        <is>
          <t>S5-05 (#32)</t>
        </is>
      </c>
      <c r="N18" s="15" t="inlineStr"/>
    </row>
    <row r="19">
      <c r="A19" s="15" t="inlineStr">
        <is>
          <t>S5-T14</t>
        </is>
      </c>
      <c r="B19" s="22" t="n">
        <v>46341</v>
      </c>
      <c r="C19" s="23">
        <f>B19</f>
        <v/>
      </c>
      <c r="D19" s="15" t="inlineStr">
        <is>
          <t>Intercambiar resúmenes de 1 página (finanzas ↔ prueba de concepto)</t>
        </is>
      </c>
      <c r="E19" s="15" t="inlineStr">
        <is>
          <t>Ambos</t>
        </is>
      </c>
      <c r="F19" s="15" t="inlineStr">
        <is>
          <t>06_Capitulos/Modelo_Negocio/ y 07_Flujos_Diseno/</t>
        </is>
      </c>
      <c r="G19" s="15" t="inlineStr">
        <is>
          <t>2 resúmenes</t>
        </is>
      </c>
      <c r="H19" s="15" t="inlineStr">
        <is>
          <t>Leídos por el otro</t>
        </is>
      </c>
      <c r="I19" s="24" t="n">
        <v>1</v>
      </c>
      <c r="J19" s="22" t="n"/>
      <c r="K19" s="15" t="inlineStr">
        <is>
          <t>Pendiente</t>
        </is>
      </c>
      <c r="L19" s="15">
        <f>IF(K19="Cancelado","",IF(J19&lt;&gt;"",J19-B19,IF(AND(K19&lt;&gt;"Hecho",TODAY()&gt;B19),TODAY()-B19,0)))</f>
        <v/>
      </c>
      <c r="M19" s="15" t="inlineStr">
        <is>
          <t>S5-07 (#64)</t>
        </is>
      </c>
      <c r="N19" s="15" t="inlineStr"/>
    </row>
    <row r="20">
      <c r="A20" s="15" t="inlineStr">
        <is>
          <t>S5-T15</t>
        </is>
      </c>
      <c r="B20" s="22" t="n">
        <v>46341</v>
      </c>
      <c r="C20" s="23">
        <f>B20</f>
        <v/>
      </c>
      <c r="D20" s="15" t="inlineStr">
        <is>
          <t>Revisar el sprint (qué hicimos, qué no, qué aprendimos), hacer 20 min de «explícame lo tuyo» y planificar el siguiente</t>
        </is>
      </c>
      <c r="E20" s="15" t="inlineStr">
        <is>
          <t>Ambos</t>
        </is>
      </c>
      <c r="F20" s="15" t="inlineStr">
        <is>
          <t>Llamada Víctor–Diego · 11_Planificacion/Bitacora_Semanal.md y 11_Planificacion/Cronograma_Tesis.xlsx</t>
        </is>
      </c>
      <c r="G20" s="15" t="inlineStr">
        <is>
          <t>Sección de la semana en la bitácora + hoja del sprint siguiente ajustada</t>
        </is>
      </c>
      <c r="H20" s="15" t="inlineStr">
        <is>
          <t>El informe del domingo (21:00) sale con la sección nueva</t>
        </is>
      </c>
      <c r="I20" s="24" t="n">
        <v>1</v>
      </c>
      <c r="J20" s="22" t="n"/>
      <c r="K20" s="15" t="inlineStr">
        <is>
          <t>Pendiente</t>
        </is>
      </c>
      <c r="L20" s="15">
        <f>IF(K20="Cancelado","",IF(J20&lt;&gt;"",J20-B20,IF(AND(K20&lt;&gt;"Hecho",TODAY()&gt;B20),TODAY()-B20,0)))</f>
        <v/>
      </c>
      <c r="M20" s="15" t="inlineStr">
        <is>
          <t>S5-07 (#64)</t>
        </is>
      </c>
      <c r="N20" s="15" t="inlineStr"/>
    </row>
  </sheetData>
  <autoFilter ref="A5:N20"/>
  <conditionalFormatting sqref="A6:N20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dataValidations count="2">
    <dataValidation sqref="K6:K60" showDropDown="0" showInputMessage="0" showErrorMessage="0" allowBlank="1" type="list">
      <formula1>"Pendiente,En curso,Hecho,Movido,Cancelado"</formula1>
    </dataValidation>
    <dataValidation sqref="E6:E60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7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Sprint 6 · 16–22 nov · Revisión 2 con la tutora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Mostrar diseño, flujos, datos y viabilidad; preparar la validación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IFERROR(COUNTIF(K6:K17,"Hecho")/(COUNTA(D6:D17)-COUNTIF(K6:K17,"Cancelado")),0)</f>
        <v/>
      </c>
      <c r="D3" s="13">
        <f>"Víctor: "&amp;TEXT(IFERROR((COUNTIFS(E6:E17,"Víctor",K6:K17,"Hecho")+COUNTIFS(E6:E17,"Ambos",K6:K17,"Hecho"))/(COUNTIF(E6:E17,"Víctor")+COUNTIF(E6:E17,"Ambos")),0),"0%")&amp;"   ·   Diego: "&amp;TEXT(IFERROR((COUNTIFS(E6:E17,"Diego",K6:K17,"Hecho")+COUNTIFS(E6:E17,"Ambos",K6:K17,"Hecho"))/(COUNTIF(E6:E17,"Diego")+COUNTIF(E6:E17,"Ambos")),0),"0%")&amp;"   ·   Horas: "&amp;TEXT(SUM(I6:I17),"0.0")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S6-T01</t>
        </is>
      </c>
      <c r="B6" s="22" t="n">
        <v>46342</v>
      </c>
      <c r="C6" s="23">
        <f>B6</f>
        <v/>
      </c>
      <c r="D6" s="15" t="inlineStr">
        <is>
          <t>Preparar la presentación de la Revisión 2 (diseño, flujos, datos y viabilidad)</t>
        </is>
      </c>
      <c r="E6" s="15" t="inlineStr">
        <is>
          <t>Ambos</t>
        </is>
      </c>
      <c r="F6" s="15" t="inlineStr">
        <is>
          <t>08_Reuniones_Tutora/</t>
        </is>
      </c>
      <c r="G6" s="15" t="inlineStr">
        <is>
          <t>08_Reuniones_Tutora/2026-11-17_Presentacion_Revision2.pptx</t>
        </is>
      </c>
      <c r="H6" s="15" t="inlineStr">
        <is>
          <t>Máx. 15 diapositivas</t>
        </is>
      </c>
      <c r="I6" s="24" t="n">
        <v>2</v>
      </c>
      <c r="J6" s="22" t="n"/>
      <c r="K6" s="15" t="inlineStr">
        <is>
          <t>Pendiente</t>
        </is>
      </c>
      <c r="L6" s="15">
        <f>IF(K6="Cancelado","",IF(J6&lt;&gt;"",J6-B6,IF(AND(K6&lt;&gt;"Hecho",TODAY()&gt;B6),TODAY()-B6,0)))</f>
        <v/>
      </c>
      <c r="M6" s="15" t="inlineStr">
        <is>
          <t>S6-01 (#33)</t>
        </is>
      </c>
      <c r="N6" s="15" t="inlineStr"/>
    </row>
    <row r="7">
      <c r="A7" s="15" t="inlineStr">
        <is>
          <t>S6-T02</t>
        </is>
      </c>
      <c r="B7" s="22" t="n">
        <v>46343</v>
      </c>
      <c r="C7" s="23">
        <f>B7</f>
        <v/>
      </c>
      <c r="D7" s="15" t="inlineStr">
        <is>
          <t>Ensayar la presentación de la Revisión 2</t>
        </is>
      </c>
      <c r="E7" s="15" t="inlineStr">
        <is>
          <t>Ambos</t>
        </is>
      </c>
      <c r="F7" s="15" t="inlineStr">
        <is>
          <t>Llamada Víctor–Diego</t>
        </is>
      </c>
      <c r="G7" s="15" t="inlineStr">
        <is>
          <t>Ensayo cronometrado</t>
        </is>
      </c>
      <c r="H7" s="15" t="inlineStr">
        <is>
          <t>Dura ≤20 min</t>
        </is>
      </c>
      <c r="I7" s="24" t="n">
        <v>1</v>
      </c>
      <c r="J7" s="22" t="n"/>
      <c r="K7" s="15" t="inlineStr">
        <is>
          <t>Pendiente</t>
        </is>
      </c>
      <c r="L7" s="15">
        <f>IF(K7="Cancelado","",IF(J7&lt;&gt;"",J7-B7,IF(AND(K7&lt;&gt;"Hecho",TODAY()&gt;B7),TODAY()-B7,0)))</f>
        <v/>
      </c>
      <c r="M7" s="15" t="inlineStr">
        <is>
          <t>S6-01 (#33)</t>
        </is>
      </c>
      <c r="N7" s="15" t="inlineStr"/>
    </row>
    <row r="8">
      <c r="A8" s="15" t="inlineStr">
        <is>
          <t>S6-T03</t>
        </is>
      </c>
      <c r="B8" s="22" t="n">
        <v>46343</v>
      </c>
      <c r="C8" s="23">
        <f>B8</f>
        <v/>
      </c>
      <c r="D8" s="15" t="inlineStr">
        <is>
          <t>Estabilizar la prueba de concepto para la demostración</t>
        </is>
      </c>
      <c r="E8" s="15" t="inlineStr">
        <is>
          <t>Diego</t>
        </is>
      </c>
      <c r="F8" s="15" t="inlineStr">
        <is>
          <t>Repositorio de la prueba de concepto</t>
        </is>
      </c>
      <c r="G8" s="15" t="inlineStr">
        <is>
          <t>Demo sin fallas</t>
        </is>
      </c>
      <c r="H8" s="15" t="inlineStr">
        <is>
          <t>3 corridas seguidas sin error</t>
        </is>
      </c>
      <c r="I8" s="24" t="n">
        <v>1</v>
      </c>
      <c r="J8" s="22" t="n"/>
      <c r="K8" s="15" t="inlineStr">
        <is>
          <t>Pendiente</t>
        </is>
      </c>
      <c r="L8" s="15">
        <f>IF(K8="Cancelado","",IF(J8&lt;&gt;"",J8-B8,IF(AND(K8&lt;&gt;"Hecho",TODAY()&gt;B8),TODAY()-B8,0)))</f>
        <v/>
      </c>
      <c r="M8" s="15" t="inlineStr">
        <is>
          <t>S5-04 (#31)</t>
        </is>
      </c>
      <c r="N8" s="15" t="inlineStr"/>
    </row>
    <row r="9">
      <c r="A9" s="15" t="inlineStr">
        <is>
          <t>S6-T04</t>
        </is>
      </c>
      <c r="B9" s="22" t="n">
        <v>46344</v>
      </c>
      <c r="C9" s="23">
        <f>B9</f>
        <v/>
      </c>
      <c r="D9" s="15" t="inlineStr">
        <is>
          <t>Asistir a la Revisión 2 con la tutora (fecha a confirmar)</t>
        </is>
      </c>
      <c r="E9" s="15" t="inlineStr">
        <is>
          <t>Ambos</t>
        </is>
      </c>
      <c r="F9" s="15" t="inlineStr">
        <is>
          <t>UPS Quito, en persona</t>
        </is>
      </c>
      <c r="G9" s="15" t="inlineStr">
        <is>
          <t>Observaciones anotadas</t>
        </is>
      </c>
      <c r="H9" s="15" t="inlineStr">
        <is>
          <t>Reunión realizada</t>
        </is>
      </c>
      <c r="I9" s="24" t="n">
        <v>1.5</v>
      </c>
      <c r="J9" s="22" t="n"/>
      <c r="K9" s="15" t="inlineStr">
        <is>
          <t>Pendiente</t>
        </is>
      </c>
      <c r="L9" s="15">
        <f>IF(K9="Cancelado","",IF(J9&lt;&gt;"",J9-B9,IF(AND(K9&lt;&gt;"Hecho",TODAY()&gt;B9),TODAY()-B9,0)))</f>
        <v/>
      </c>
      <c r="M9" s="15" t="inlineStr">
        <is>
          <t>S6-01 (#33)</t>
        </is>
      </c>
      <c r="N9" s="15" t="inlineStr">
        <is>
          <t>Confirmar fecha con la tutora</t>
        </is>
      </c>
    </row>
    <row r="10">
      <c r="A10" s="15" t="inlineStr">
        <is>
          <t>S6-T05</t>
        </is>
      </c>
      <c r="B10" s="22" t="n">
        <v>46344</v>
      </c>
      <c r="C10" s="23">
        <f>B10</f>
        <v/>
      </c>
      <c r="D10" s="15" t="inlineStr">
        <is>
          <t>Escribir el acta de la Revisión 2</t>
        </is>
      </c>
      <c r="E10" s="15" t="inlineStr">
        <is>
          <t>Víctor</t>
        </is>
      </c>
      <c r="F10" s="15" t="inlineStr">
        <is>
          <t>08_Reuniones_Tutora/</t>
        </is>
      </c>
      <c r="G10" s="15" t="inlineStr">
        <is>
          <t>08_Reuniones_Tutora/2026-11-18_Acta_Revision2.md</t>
        </is>
      </c>
      <c r="H10" s="15" t="inlineStr">
        <is>
          <t>Observaciones con responsable y plazo</t>
        </is>
      </c>
      <c r="I10" s="24" t="n">
        <v>0.5</v>
      </c>
      <c r="J10" s="22" t="n"/>
      <c r="K10" s="15" t="inlineStr">
        <is>
          <t>Pendiente</t>
        </is>
      </c>
      <c r="L10" s="15">
        <f>IF(K10="Cancelado","",IF(J10&lt;&gt;"",J10-B10,IF(AND(K10&lt;&gt;"Hecho",TODAY()&gt;B10),TODAY()-B10,0)))</f>
        <v/>
      </c>
      <c r="M10" s="15" t="inlineStr">
        <is>
          <t>S6-02 (#34)</t>
        </is>
      </c>
      <c r="N10" s="15" t="inlineStr"/>
    </row>
    <row r="11">
      <c r="A11" s="15" t="inlineStr">
        <is>
          <t>S6-T06</t>
        </is>
      </c>
      <c r="B11" s="22" t="n">
        <v>46345</v>
      </c>
      <c r="C11" s="23">
        <f>B11</f>
        <v/>
      </c>
      <c r="D11" s="15" t="inlineStr">
        <is>
          <t>Preparar el protocolo de la validación del diseño en operación experimental controlada</t>
        </is>
      </c>
      <c r="E11" s="15" t="inlineStr">
        <is>
          <t>Víctor</t>
        </is>
      </c>
      <c r="F11" s="15" t="inlineStr">
        <is>
          <t>04_Instrumentos/</t>
        </is>
      </c>
      <c r="G11" s="15" t="inlineStr">
        <is>
          <t>04_Instrumentos/2026-11-19_Protocolo_Validacion_v0.1.md</t>
        </is>
      </c>
      <c r="H11" s="15" t="inlineStr">
        <is>
          <t>Fechas, participantes y mediciones definidos</t>
        </is>
      </c>
      <c r="I11" s="24" t="n">
        <v>2</v>
      </c>
      <c r="J11" s="22" t="n"/>
      <c r="K11" s="15" t="inlineStr">
        <is>
          <t>Pendiente</t>
        </is>
      </c>
      <c r="L11" s="15">
        <f>IF(K11="Cancelado","",IF(J11&lt;&gt;"",J11-B11,IF(AND(K11&lt;&gt;"Hecho",TODAY()&gt;B11),TODAY()-B11,0)))</f>
        <v/>
      </c>
      <c r="M11" s="15" t="inlineStr">
        <is>
          <t>S7-02 (#36)</t>
        </is>
      </c>
      <c r="N11" s="15" t="inlineStr"/>
    </row>
    <row r="12">
      <c r="A12" s="15" t="inlineStr">
        <is>
          <t>S6-T07</t>
        </is>
      </c>
      <c r="B12" s="22" t="n">
        <v>46345</v>
      </c>
      <c r="C12" s="23">
        <f>B12</f>
        <v/>
      </c>
      <c r="D12" s="15" t="inlineStr">
        <is>
          <t>Dejar estable la prueba de concepto para la validación</t>
        </is>
      </c>
      <c r="E12" s="15" t="inlineStr">
        <is>
          <t>Diego</t>
        </is>
      </c>
      <c r="F12" s="15" t="inlineStr">
        <is>
          <t>Repositorio de la prueba de concepto</t>
        </is>
      </c>
      <c r="G12" s="15" t="inlineStr">
        <is>
          <t>Versión congelada</t>
        </is>
      </c>
      <c r="H12" s="15" t="inlineStr">
        <is>
          <t>Etiqueta de versión en el repositorio</t>
        </is>
      </c>
      <c r="I12" s="24" t="n">
        <v>2</v>
      </c>
      <c r="J12" s="22" t="n"/>
      <c r="K12" s="15" t="inlineStr">
        <is>
          <t>Pendiente</t>
        </is>
      </c>
      <c r="L12" s="15">
        <f>IF(K12="Cancelado","",IF(J12&lt;&gt;"",J12-B12,IF(AND(K12&lt;&gt;"Hecho",TODAY()&gt;B12),TODAY()-B12,0)))</f>
        <v/>
      </c>
      <c r="M12" s="15" t="inlineStr">
        <is>
          <t>S5-04 (#31)</t>
        </is>
      </c>
      <c r="N12" s="15" t="inlineStr"/>
    </row>
    <row r="13">
      <c r="A13" s="15" t="inlineStr">
        <is>
          <t>S6-T08</t>
        </is>
      </c>
      <c r="B13" s="22" t="n">
        <v>46346</v>
      </c>
      <c r="C13" s="23">
        <f>B13</f>
        <v/>
      </c>
      <c r="D13" s="15" t="inlineStr">
        <is>
          <t>Pedir a Torvesa la autorización y las fechas de la validación</t>
        </is>
      </c>
      <c r="E13" s="15" t="inlineStr">
        <is>
          <t>Víctor</t>
        </is>
      </c>
      <c r="F13" s="15" t="inlineStr">
        <is>
          <t>Correo electrónico</t>
        </is>
      </c>
      <c r="G13" s="15" t="inlineStr">
        <is>
          <t>Autorización escrita</t>
        </is>
      </c>
      <c r="H13" s="15" t="inlineStr">
        <is>
          <t>Respuesta recibida</t>
        </is>
      </c>
      <c r="I13" s="24" t="n">
        <v>1</v>
      </c>
      <c r="J13" s="22" t="n"/>
      <c r="K13" s="15" t="inlineStr">
        <is>
          <t>Pendiente</t>
        </is>
      </c>
      <c r="L13" s="15">
        <f>IF(K13="Cancelado","",IF(J13&lt;&gt;"",J13-B13,IF(AND(K13&lt;&gt;"Hecho",TODAY()&gt;B13),TODAY()-B13,0)))</f>
        <v/>
      </c>
      <c r="M13" s="15" t="inlineStr">
        <is>
          <t>S7-02 (#36)</t>
        </is>
      </c>
      <c r="N13" s="15" t="inlineStr"/>
    </row>
    <row r="14">
      <c r="A14" s="15" t="inlineStr">
        <is>
          <t>S6-T09</t>
        </is>
      </c>
      <c r="B14" s="22" t="n">
        <v>46346</v>
      </c>
      <c r="C14" s="23">
        <f>B14</f>
        <v/>
      </c>
      <c r="D14" s="15" t="inlineStr">
        <is>
          <t>Probar la prueba de concepto con los 3 casos de prueba antes de la validación</t>
        </is>
      </c>
      <c r="E14" s="15" t="inlineStr">
        <is>
          <t>Diego</t>
        </is>
      </c>
      <c r="F14" s="15" t="inlineStr">
        <is>
          <t>07_Flujos_Diseno/</t>
        </is>
      </c>
      <c r="G14" s="15" t="inlineStr">
        <is>
          <t>Resultados preliminares</t>
        </is>
      </c>
      <c r="H14" s="15" t="inlineStr">
        <is>
          <t>Los 3 casos pasan</t>
        </is>
      </c>
      <c r="I14" s="24" t="n">
        <v>2</v>
      </c>
      <c r="J14" s="22" t="n"/>
      <c r="K14" s="15" t="inlineStr">
        <is>
          <t>Pendiente</t>
        </is>
      </c>
      <c r="L14" s="15">
        <f>IF(K14="Cancelado","",IF(J14&lt;&gt;"",J14-B14,IF(AND(K14&lt;&gt;"Hecho",TODAY()&gt;B14),TODAY()-B14,0)))</f>
        <v/>
      </c>
      <c r="M14" s="15" t="inlineStr">
        <is>
          <t>S5-05 (#32)</t>
        </is>
      </c>
      <c r="N14" s="15" t="inlineStr"/>
    </row>
    <row r="15">
      <c r="A15" s="15" t="inlineStr">
        <is>
          <t>S6-T10</t>
        </is>
      </c>
      <c r="B15" s="22" t="n">
        <v>46347</v>
      </c>
      <c r="C15" s="23">
        <f>B15</f>
        <v/>
      </c>
      <c r="D15" s="15" t="inlineStr">
        <is>
          <t>Incorporar las observaciones de la Revisión 2 (documento)</t>
        </is>
      </c>
      <c r="E15" s="15" t="inlineStr">
        <is>
          <t>Víctor</t>
        </is>
      </c>
      <c r="F15" s="15" t="inlineStr">
        <is>
          <t>06_Capitulos/</t>
        </is>
      </c>
      <c r="G15" s="15" t="inlineStr">
        <is>
          <t>Versiones nuevas</t>
        </is>
      </c>
      <c r="H15" s="15" t="inlineStr">
        <is>
          <t>Observaciones cerradas</t>
        </is>
      </c>
      <c r="I15" s="24" t="n">
        <v>3</v>
      </c>
      <c r="J15" s="22" t="n"/>
      <c r="K15" s="15" t="inlineStr">
        <is>
          <t>Pendiente</t>
        </is>
      </c>
      <c r="L15" s="15">
        <f>IF(K15="Cancelado","",IF(J15&lt;&gt;"",J15-B15,IF(AND(K15&lt;&gt;"Hecho",TODAY()&gt;B15),TODAY()-B15,0)))</f>
        <v/>
      </c>
      <c r="M15" s="15" t="inlineStr">
        <is>
          <t>S7-01 (#35)</t>
        </is>
      </c>
      <c r="N15" s="15" t="inlineStr"/>
    </row>
    <row r="16">
      <c r="A16" s="15" t="inlineStr">
        <is>
          <t>S6-T11</t>
        </is>
      </c>
      <c r="B16" s="22" t="n">
        <v>46347</v>
      </c>
      <c r="C16" s="23">
        <f>B16</f>
        <v/>
      </c>
      <c r="D16" s="15" t="inlineStr">
        <is>
          <t>Incorporar las observaciones de la Revisión 2 (técnicas)</t>
        </is>
      </c>
      <c r="E16" s="15" t="inlineStr">
        <is>
          <t>Diego</t>
        </is>
      </c>
      <c r="F16" s="15" t="inlineStr">
        <is>
          <t>07_Flujos_Diseno/</t>
        </is>
      </c>
      <c r="G16" s="15" t="inlineStr">
        <is>
          <t>Versiones nuevas</t>
        </is>
      </c>
      <c r="H16" s="15" t="inlineStr">
        <is>
          <t>Observaciones cerradas</t>
        </is>
      </c>
      <c r="I16" s="24" t="n">
        <v>3</v>
      </c>
      <c r="J16" s="22" t="n"/>
      <c r="K16" s="15" t="inlineStr">
        <is>
          <t>Pendiente</t>
        </is>
      </c>
      <c r="L16" s="15">
        <f>IF(K16="Cancelado","",IF(J16&lt;&gt;"",J16-B16,IF(AND(K16&lt;&gt;"Hecho",TODAY()&gt;B16),TODAY()-B16,0)))</f>
        <v/>
      </c>
      <c r="M16" s="15" t="inlineStr">
        <is>
          <t>S7-01 (#35)</t>
        </is>
      </c>
      <c r="N16" s="15" t="inlineStr"/>
    </row>
    <row r="17">
      <c r="A17" s="15" t="inlineStr">
        <is>
          <t>S6-T12</t>
        </is>
      </c>
      <c r="B17" s="22" t="n">
        <v>46348</v>
      </c>
      <c r="C17" s="23">
        <f>B17</f>
        <v/>
      </c>
      <c r="D17" s="15" t="inlineStr">
        <is>
          <t>Revisar el sprint (qué hicimos, qué no, qué aprendimos), hacer 20 min de «explícame lo tuyo» y planificar el siguiente</t>
        </is>
      </c>
      <c r="E17" s="15" t="inlineStr">
        <is>
          <t>Ambos</t>
        </is>
      </c>
      <c r="F17" s="15" t="inlineStr">
        <is>
          <t>Llamada Víctor–Diego · 11_Planificacion/Bitacora_Semanal.md y 11_Planificacion/Cronograma_Tesis.xlsx</t>
        </is>
      </c>
      <c r="G17" s="15" t="inlineStr">
        <is>
          <t>Sección de la semana en la bitácora + hoja del sprint siguiente ajustada</t>
        </is>
      </c>
      <c r="H17" s="15" t="inlineStr">
        <is>
          <t>El informe del domingo (21:00) sale con la sección nueva</t>
        </is>
      </c>
      <c r="I17" s="24" t="n">
        <v>1</v>
      </c>
      <c r="J17" s="22" t="n"/>
      <c r="K17" s="15" t="inlineStr">
        <is>
          <t>Pendiente</t>
        </is>
      </c>
      <c r="L17" s="15">
        <f>IF(K17="Cancelado","",IF(J17&lt;&gt;"",J17-B17,IF(AND(K17&lt;&gt;"Hecho",TODAY()&gt;B17),TODAY()-B17,0)))</f>
        <v/>
      </c>
      <c r="M17" s="15" t="inlineStr">
        <is>
          <t>S6-03 (#65)</t>
        </is>
      </c>
      <c r="N17" s="15" t="inlineStr"/>
    </row>
  </sheetData>
  <autoFilter ref="A5:N17"/>
  <conditionalFormatting sqref="A6:N17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dataValidations count="2">
    <dataValidation sqref="K6:K57" showDropDown="0" showInputMessage="0" showErrorMessage="0" allowBlank="1" type="list">
      <formula1>"Pendiente,En curso,Hecho,Movido,Cancelado"</formula1>
    </dataValidation>
    <dataValidation sqref="E6:E57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Sprint 7 · 23–29 nov · Arranca la validación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Capacitar a Torvesa y arrancar la validación del diseño en operación experimental controlada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IFERROR(COUNTIF(K6:K19,"Hecho")/(COUNTA(D6:D19)-COUNTIF(K6:K19,"Cancelado")),0)</f>
        <v/>
      </c>
      <c r="D3" s="13">
        <f>"Víctor: "&amp;TEXT(IFERROR((COUNTIFS(E6:E19,"Víctor",K6:K19,"Hecho")+COUNTIFS(E6:E19,"Ambos",K6:K19,"Hecho"))/(COUNTIF(E6:E19,"Víctor")+COUNTIF(E6:E19,"Ambos")),0),"0%")&amp;"   ·   Diego: "&amp;TEXT(IFERROR((COUNTIFS(E6:E19,"Diego",K6:K19,"Hecho")+COUNTIFS(E6:E19,"Ambos",K6:K19,"Hecho"))/(COUNTIF(E6:E19,"Diego")+COUNTIF(E6:E19,"Ambos")),0),"0%")&amp;"   ·   Horas: "&amp;TEXT(SUM(I6:I19),"0.0")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S7-T01</t>
        </is>
      </c>
      <c r="B6" s="22" t="n">
        <v>46348</v>
      </c>
      <c r="C6" s="23">
        <f>B6</f>
        <v/>
      </c>
      <c r="D6" s="15" t="inlineStr">
        <is>
          <t>Preparar el sistema para la validación (accesos, respaldo)</t>
        </is>
      </c>
      <c r="E6" s="15" t="inlineStr">
        <is>
          <t>Diego</t>
        </is>
      </c>
      <c r="F6" s="15" t="inlineStr">
        <is>
          <t>Repositorio de la prueba de concepto</t>
        </is>
      </c>
      <c r="G6" s="15" t="inlineStr">
        <is>
          <t>Accesos listos</t>
        </is>
      </c>
      <c r="H6" s="15" t="inlineStr">
        <is>
          <t>Prueba de acceso de cada usuario</t>
        </is>
      </c>
      <c r="I6" s="24" t="n">
        <v>1</v>
      </c>
      <c r="J6" s="22" t="n"/>
      <c r="K6" s="15" t="inlineStr">
        <is>
          <t>Pendiente</t>
        </is>
      </c>
      <c r="L6" s="15">
        <f>IF(K6="Cancelado","",IF(J6&lt;&gt;"",J6-B6,IF(AND(K6&lt;&gt;"Hecho",TODAY()&gt;B6),TODAY()-B6,0)))</f>
        <v/>
      </c>
      <c r="M6" s="15" t="inlineStr">
        <is>
          <t>S7-03 (#37)</t>
        </is>
      </c>
      <c r="N6" s="15" t="inlineStr"/>
    </row>
    <row r="7">
      <c r="A7" s="15" t="inlineStr">
        <is>
          <t>S7-T02</t>
        </is>
      </c>
      <c r="B7" s="22" t="n">
        <v>46349</v>
      </c>
      <c r="C7" s="23">
        <f>B7</f>
        <v/>
      </c>
      <c r="D7" s="15" t="inlineStr">
        <is>
          <t>Capacitar al equipo de Torvesa para la validación</t>
        </is>
      </c>
      <c r="E7" s="15" t="inlineStr">
        <is>
          <t>Ambos</t>
        </is>
      </c>
      <c r="F7" s="15" t="inlineStr">
        <is>
          <t>Torvesa (oficina, Quito)</t>
        </is>
      </c>
      <c r="G7" s="15" t="inlineStr">
        <is>
          <t>Equipo capacitado</t>
        </is>
      </c>
      <c r="H7" s="15" t="inlineStr">
        <is>
          <t>Lista de asistentes</t>
        </is>
      </c>
      <c r="I7" s="24" t="n">
        <v>1.5</v>
      </c>
      <c r="J7" s="22" t="n"/>
      <c r="K7" s="15" t="inlineStr">
        <is>
          <t>Pendiente</t>
        </is>
      </c>
      <c r="L7" s="15">
        <f>IF(K7="Cancelado","",IF(J7&lt;&gt;"",J7-B7,IF(AND(K7&lt;&gt;"Hecho",TODAY()&gt;B7),TODAY()-B7,0)))</f>
        <v/>
      </c>
      <c r="M7" s="15" t="inlineStr">
        <is>
          <t>S7-02 (#36)</t>
        </is>
      </c>
      <c r="N7" s="15" t="inlineStr"/>
    </row>
    <row r="8">
      <c r="A8" s="15" t="inlineStr">
        <is>
          <t>S7-T03</t>
        </is>
      </c>
      <c r="B8" s="22" t="n">
        <v>46350</v>
      </c>
      <c r="C8" s="23">
        <f>B8</f>
        <v/>
      </c>
      <c r="D8" s="15" t="inlineStr">
        <is>
          <t>Arrancar la validación del diseño en operación experimental controlada</t>
        </is>
      </c>
      <c r="E8" s="15" t="inlineStr">
        <is>
          <t>Diego</t>
        </is>
      </c>
      <c r="F8" s="15" t="inlineStr">
        <is>
          <t>Torvesa (oficina, Quito)</t>
        </is>
      </c>
      <c r="G8" s="15" t="inlineStr">
        <is>
          <t>Primeros eventos registrados</t>
        </is>
      </c>
      <c r="H8" s="15" t="inlineStr">
        <is>
          <t>Eventos sin errores</t>
        </is>
      </c>
      <c r="I8" s="24" t="n">
        <v>1</v>
      </c>
      <c r="J8" s="22" t="n"/>
      <c r="K8" s="15" t="inlineStr">
        <is>
          <t>Pendiente</t>
        </is>
      </c>
      <c r="L8" s="15">
        <f>IF(K8="Cancelado","",IF(J8&lt;&gt;"",J8-B8,IF(AND(K8&lt;&gt;"Hecho",TODAY()&gt;B8),TODAY()-B8,0)))</f>
        <v/>
      </c>
      <c r="M8" s="15" t="inlineStr">
        <is>
          <t>S7-03 (#37)</t>
        </is>
      </c>
      <c r="N8" s="15" t="inlineStr"/>
    </row>
    <row r="9">
      <c r="A9" s="15" t="inlineStr">
        <is>
          <t>S7-T04</t>
        </is>
      </c>
      <c r="B9" s="22" t="n">
        <v>46350</v>
      </c>
      <c r="C9" s="23">
        <f>B9</f>
        <v/>
      </c>
      <c r="D9" s="15" t="inlineStr">
        <is>
          <t>Escribir el capítulo de diagnóstico, parte 1 (línea base real)</t>
        </is>
      </c>
      <c r="E9" s="15" t="inlineStr">
        <is>
          <t>Víctor</t>
        </is>
      </c>
      <c r="F9" s="15" t="inlineStr">
        <is>
          <t>06_Capitulos/</t>
        </is>
      </c>
      <c r="G9" s="15" t="inlineStr">
        <is>
          <t>Cap4 v0.1 (primera mitad)</t>
        </is>
      </c>
      <c r="H9" s="15" t="inlineStr">
        <is>
          <t>Solo datos con registro de procedencia</t>
        </is>
      </c>
      <c r="I9" s="24" t="n">
        <v>2</v>
      </c>
      <c r="J9" s="22" t="n"/>
      <c r="K9" s="15" t="inlineStr">
        <is>
          <t>Pendiente</t>
        </is>
      </c>
      <c r="L9" s="15">
        <f>IF(K9="Cancelado","",IF(J9&lt;&gt;"",J9-B9,IF(AND(K9&lt;&gt;"Hecho",TODAY()&gt;B9),TODAY()-B9,0)))</f>
        <v/>
      </c>
      <c r="M9" s="15" t="inlineStr">
        <is>
          <t>S7-04 (#66)</t>
        </is>
      </c>
      <c r="N9" s="15" t="inlineStr"/>
    </row>
    <row r="10">
      <c r="A10" s="15" t="inlineStr">
        <is>
          <t>S7-T05</t>
        </is>
      </c>
      <c r="B10" s="22" t="n">
        <v>46351</v>
      </c>
      <c r="C10" s="23">
        <f>B10</f>
        <v/>
      </c>
      <c r="D10" s="15" t="inlineStr">
        <is>
          <t>Monitorear la validación y anotar incidencias</t>
        </is>
      </c>
      <c r="E10" s="15" t="inlineStr">
        <is>
          <t>Diego</t>
        </is>
      </c>
      <c r="F10" s="15" t="inlineStr">
        <is>
          <t>Registro de eventos del sistema</t>
        </is>
      </c>
      <c r="G10" s="15" t="inlineStr">
        <is>
          <t>Bitácora de incidencias</t>
        </is>
      </c>
      <c r="H10" s="15" t="inlineStr">
        <is>
          <t>Revisada a diario</t>
        </is>
      </c>
      <c r="I10" s="24" t="n">
        <v>0.5</v>
      </c>
      <c r="J10" s="22" t="n"/>
      <c r="K10" s="15" t="inlineStr">
        <is>
          <t>Pendiente</t>
        </is>
      </c>
      <c r="L10" s="15">
        <f>IF(K10="Cancelado","",IF(J10&lt;&gt;"",J10-B10,IF(AND(K10&lt;&gt;"Hecho",TODAY()&gt;B10),TODAY()-B10,0)))</f>
        <v/>
      </c>
      <c r="M10" s="15" t="inlineStr">
        <is>
          <t>S7-03 (#37)</t>
        </is>
      </c>
      <c r="N10" s="15" t="inlineStr"/>
    </row>
    <row r="11">
      <c r="A11" s="15" t="inlineStr">
        <is>
          <t>S7-T06</t>
        </is>
      </c>
      <c r="B11" s="22" t="n">
        <v>46351</v>
      </c>
      <c r="C11" s="23">
        <f>B11</f>
        <v/>
      </c>
      <c r="D11" s="15" t="inlineStr">
        <is>
          <t>Incorporar observaciones técnicas pendientes</t>
        </is>
      </c>
      <c r="E11" s="15" t="inlineStr">
        <is>
          <t>Diego</t>
        </is>
      </c>
      <c r="F11" s="15" t="inlineStr">
        <is>
          <t>07_Flujos_Diseno/</t>
        </is>
      </c>
      <c r="G11" s="15" t="inlineStr">
        <is>
          <t>Versiones nuevas</t>
        </is>
      </c>
      <c r="H11" s="15" t="inlineStr">
        <is>
          <t>Observaciones cerradas</t>
        </is>
      </c>
      <c r="I11" s="24" t="n">
        <v>1.5</v>
      </c>
      <c r="J11" s="22" t="n"/>
      <c r="K11" s="15" t="inlineStr">
        <is>
          <t>Pendiente</t>
        </is>
      </c>
      <c r="L11" s="15">
        <f>IF(K11="Cancelado","",IF(J11&lt;&gt;"",J11-B11,IF(AND(K11&lt;&gt;"Hecho",TODAY()&gt;B11),TODAY()-B11,0)))</f>
        <v/>
      </c>
      <c r="M11" s="15" t="inlineStr">
        <is>
          <t>S7-01 (#35)</t>
        </is>
      </c>
      <c r="N11" s="15" t="inlineStr"/>
    </row>
    <row r="12">
      <c r="A12" s="15" t="inlineStr">
        <is>
          <t>S7-T07</t>
        </is>
      </c>
      <c r="B12" s="22" t="n">
        <v>46351</v>
      </c>
      <c r="C12" s="23">
        <f>B12</f>
        <v/>
      </c>
      <c r="D12" s="15" t="inlineStr">
        <is>
          <t>Escribir el capítulo de diagnóstico, parte 2</t>
        </is>
      </c>
      <c r="E12" s="15" t="inlineStr">
        <is>
          <t>Víctor</t>
        </is>
      </c>
      <c r="F12" s="15" t="inlineStr">
        <is>
          <t>06_Capitulos/</t>
        </is>
      </c>
      <c r="G12" s="15" t="inlineStr">
        <is>
          <t>Cap4 v0.1</t>
        </is>
      </c>
      <c r="H12" s="15" t="inlineStr">
        <is>
          <t>Capítulo completo</t>
        </is>
      </c>
      <c r="I12" s="24" t="n">
        <v>2</v>
      </c>
      <c r="J12" s="22" t="n"/>
      <c r="K12" s="15" t="inlineStr">
        <is>
          <t>Pendiente</t>
        </is>
      </c>
      <c r="L12" s="15">
        <f>IF(K12="Cancelado","",IF(J12&lt;&gt;"",J12-B12,IF(AND(K12&lt;&gt;"Hecho",TODAY()&gt;B12),TODAY()-B12,0)))</f>
        <v/>
      </c>
      <c r="M12" s="15" t="inlineStr">
        <is>
          <t>S7-04 (#66)</t>
        </is>
      </c>
      <c r="N12" s="15" t="inlineStr"/>
    </row>
    <row r="13">
      <c r="A13" s="15" t="inlineStr">
        <is>
          <t>S7-T08</t>
        </is>
      </c>
      <c r="B13" s="22" t="n">
        <v>46352</v>
      </c>
      <c r="C13" s="23">
        <f>B13</f>
        <v/>
      </c>
      <c r="D13" s="15" t="inlineStr">
        <is>
          <t>Monitorear la validación y anotar incidencias</t>
        </is>
      </c>
      <c r="E13" s="15" t="inlineStr">
        <is>
          <t>Diego</t>
        </is>
      </c>
      <c r="F13" s="15" t="inlineStr">
        <is>
          <t>Registro de eventos del sistema</t>
        </is>
      </c>
      <c r="G13" s="15" t="inlineStr">
        <is>
          <t>Bitácora de incidencias</t>
        </is>
      </c>
      <c r="H13" s="15" t="inlineStr">
        <is>
          <t>Revisada a diario</t>
        </is>
      </c>
      <c r="I13" s="24" t="n">
        <v>0.5</v>
      </c>
      <c r="J13" s="22" t="n"/>
      <c r="K13" s="15" t="inlineStr">
        <is>
          <t>Pendiente</t>
        </is>
      </c>
      <c r="L13" s="15">
        <f>IF(K13="Cancelado","",IF(J13&lt;&gt;"",J13-B13,IF(AND(K13&lt;&gt;"Hecho",TODAY()&gt;B13),TODAY()-B13,0)))</f>
        <v/>
      </c>
      <c r="M13" s="15" t="inlineStr">
        <is>
          <t>S7-03 (#37)</t>
        </is>
      </c>
      <c r="N13" s="15" t="inlineStr"/>
    </row>
    <row r="14">
      <c r="A14" s="15" t="inlineStr">
        <is>
          <t>S7-T09</t>
        </is>
      </c>
      <c r="B14" s="22" t="n">
        <v>46352</v>
      </c>
      <c r="C14" s="23">
        <f>B14</f>
        <v/>
      </c>
      <c r="D14" s="15" t="inlineStr">
        <is>
          <t>Incorporar observaciones pendientes del documento</t>
        </is>
      </c>
      <c r="E14" s="15" t="inlineStr">
        <is>
          <t>Víctor</t>
        </is>
      </c>
      <c r="F14" s="15" t="inlineStr">
        <is>
          <t>06_Capitulos/</t>
        </is>
      </c>
      <c r="G14" s="15" t="inlineStr">
        <is>
          <t>Versiones nuevas</t>
        </is>
      </c>
      <c r="H14" s="15" t="inlineStr">
        <is>
          <t>Observaciones cerradas</t>
        </is>
      </c>
      <c r="I14" s="24" t="n">
        <v>2</v>
      </c>
      <c r="J14" s="22" t="n"/>
      <c r="K14" s="15" t="inlineStr">
        <is>
          <t>Pendiente</t>
        </is>
      </c>
      <c r="L14" s="15">
        <f>IF(K14="Cancelado","",IF(J14&lt;&gt;"",J14-B14,IF(AND(K14&lt;&gt;"Hecho",TODAY()&gt;B14),TODAY()-B14,0)))</f>
        <v/>
      </c>
      <c r="M14" s="15" t="inlineStr">
        <is>
          <t>S7-01 (#35)</t>
        </is>
      </c>
      <c r="N14" s="15" t="inlineStr"/>
    </row>
    <row r="15">
      <c r="A15" s="15" t="inlineStr">
        <is>
          <t>S7-T10</t>
        </is>
      </c>
      <c r="B15" s="22" t="n">
        <v>46353</v>
      </c>
      <c r="C15" s="23">
        <f>B15</f>
        <v/>
      </c>
      <c r="D15" s="15" t="inlineStr">
        <is>
          <t>Monitorear la validación y anotar incidencias</t>
        </is>
      </c>
      <c r="E15" s="15" t="inlineStr">
        <is>
          <t>Diego</t>
        </is>
      </c>
      <c r="F15" s="15" t="inlineStr">
        <is>
          <t>Registro de eventos del sistema</t>
        </is>
      </c>
      <c r="G15" s="15" t="inlineStr">
        <is>
          <t>Bitácora de incidencias</t>
        </is>
      </c>
      <c r="H15" s="15" t="inlineStr">
        <is>
          <t>Revisada a diario</t>
        </is>
      </c>
      <c r="I15" s="24" t="n">
        <v>0.5</v>
      </c>
      <c r="J15" s="22" t="n"/>
      <c r="K15" s="15" t="inlineStr">
        <is>
          <t>Pendiente</t>
        </is>
      </c>
      <c r="L15" s="15">
        <f>IF(K15="Cancelado","",IF(J15&lt;&gt;"",J15-B15,IF(AND(K15&lt;&gt;"Hecho",TODAY()&gt;B15),TODAY()-B15,0)))</f>
        <v/>
      </c>
      <c r="M15" s="15" t="inlineStr">
        <is>
          <t>S7-03 (#37)</t>
        </is>
      </c>
      <c r="N15" s="15" t="inlineStr"/>
    </row>
    <row r="16">
      <c r="A16" s="15" t="inlineStr">
        <is>
          <t>S7-T11</t>
        </is>
      </c>
      <c r="B16" s="22" t="n">
        <v>46353</v>
      </c>
      <c r="C16" s="23">
        <f>B16</f>
        <v/>
      </c>
      <c r="D16" s="15" t="inlineStr">
        <is>
          <t>Revisar el capítulo de diagnóstico</t>
        </is>
      </c>
      <c r="E16" s="15" t="inlineStr">
        <is>
          <t>Víctor</t>
        </is>
      </c>
      <c r="F16" s="15" t="inlineStr">
        <is>
          <t>06_Capitulos/</t>
        </is>
      </c>
      <c r="G16" s="15" t="inlineStr">
        <is>
          <t>06_Capitulos/2026-11-28_Cap4_Diagnostico_v0.1.docx</t>
        </is>
      </c>
      <c r="H16" s="15" t="inlineStr">
        <is>
          <t>Revisado una vez</t>
        </is>
      </c>
      <c r="I16" s="24" t="n">
        <v>2</v>
      </c>
      <c r="J16" s="22" t="n"/>
      <c r="K16" s="15" t="inlineStr">
        <is>
          <t>Pendiente</t>
        </is>
      </c>
      <c r="L16" s="15">
        <f>IF(K16="Cancelado","",IF(J16&lt;&gt;"",J16-B16,IF(AND(K16&lt;&gt;"Hecho",TODAY()&gt;B16),TODAY()-B16,0)))</f>
        <v/>
      </c>
      <c r="M16" s="15" t="inlineStr">
        <is>
          <t>S7-04 (#66)</t>
        </is>
      </c>
      <c r="N16" s="15" t="inlineStr"/>
    </row>
    <row r="17">
      <c r="A17" s="15" t="inlineStr">
        <is>
          <t>S7-T12</t>
        </is>
      </c>
      <c r="B17" s="22" t="n">
        <v>46354</v>
      </c>
      <c r="C17" s="23">
        <f>B17</f>
        <v/>
      </c>
      <c r="D17" s="15" t="inlineStr">
        <is>
          <t>Monitorear la validación y empezar a documentar las herramientas</t>
        </is>
      </c>
      <c r="E17" s="15" t="inlineStr">
        <is>
          <t>Diego</t>
        </is>
      </c>
      <c r="F17" s="15" t="inlineStr">
        <is>
          <t>Registro de eventos · 07_Flujos_Diseno/</t>
        </is>
      </c>
      <c r="G17" s="15" t="inlineStr">
        <is>
          <t>Bitácora + borrador de herramientas</t>
        </is>
      </c>
      <c r="H17" s="15" t="inlineStr">
        <is>
          <t>Revisada</t>
        </is>
      </c>
      <c r="I17" s="24" t="n">
        <v>3</v>
      </c>
      <c r="J17" s="22" t="n"/>
      <c r="K17" s="15" t="inlineStr">
        <is>
          <t>Pendiente</t>
        </is>
      </c>
      <c r="L17" s="15">
        <f>IF(K17="Cancelado","",IF(J17&lt;&gt;"",J17-B17,IF(AND(K17&lt;&gt;"Hecho",TODAY()&gt;B17),TODAY()-B17,0)))</f>
        <v/>
      </c>
      <c r="M17" s="15" t="inlineStr">
        <is>
          <t>S8-01 (#38)</t>
        </is>
      </c>
      <c r="N17" s="15" t="inlineStr"/>
    </row>
    <row r="18">
      <c r="A18" s="15" t="inlineStr">
        <is>
          <t>S7-T13</t>
        </is>
      </c>
      <c r="B18" s="22" t="n">
        <v>46354</v>
      </c>
      <c r="C18" s="23">
        <f>B18</f>
        <v/>
      </c>
      <c r="D18" s="15" t="inlineStr">
        <is>
          <t>Escribir un resumen de 1 página para Diego del diagnóstico</t>
        </is>
      </c>
      <c r="E18" s="15" t="inlineStr">
        <is>
          <t>Víctor</t>
        </is>
      </c>
      <c r="F18" s="15" t="inlineStr">
        <is>
          <t>06_Capitulos/</t>
        </is>
      </c>
      <c r="G18" s="15" t="inlineStr">
        <is>
          <t>06_Capitulos/2026-11-28_Resumen_Cap4.md</t>
        </is>
      </c>
      <c r="H18" s="15" t="inlineStr">
        <is>
          <t>Diego lo leyó</t>
        </is>
      </c>
      <c r="I18" s="24" t="n">
        <v>0.5</v>
      </c>
      <c r="J18" s="22" t="n"/>
      <c r="K18" s="15" t="inlineStr">
        <is>
          <t>Pendiente</t>
        </is>
      </c>
      <c r="L18" s="15">
        <f>IF(K18="Cancelado","",IF(J18&lt;&gt;"",J18-B18,IF(AND(K18&lt;&gt;"Hecho",TODAY()&gt;B18),TODAY()-B18,0)))</f>
        <v/>
      </c>
      <c r="M18" s="15" t="inlineStr">
        <is>
          <t>S7-04 (#66)</t>
        </is>
      </c>
      <c r="N18" s="15" t="inlineStr"/>
    </row>
    <row r="19">
      <c r="A19" s="15" t="inlineStr">
        <is>
          <t>S7-T14</t>
        </is>
      </c>
      <c r="B19" s="22" t="n">
        <v>46355</v>
      </c>
      <c r="C19" s="23">
        <f>B19</f>
        <v/>
      </c>
      <c r="D19" s="15" t="inlineStr">
        <is>
          <t>Revisar el sprint (qué hicimos, qué no, qué aprendimos), hacer 20 min de «explícame lo tuyo» y planificar el siguiente</t>
        </is>
      </c>
      <c r="E19" s="15" t="inlineStr">
        <is>
          <t>Ambos</t>
        </is>
      </c>
      <c r="F19" s="15" t="inlineStr">
        <is>
          <t>Llamada Víctor–Diego · 11_Planificacion/Bitacora_Semanal.md y 11_Planificacion/Cronograma_Tesis.xlsx</t>
        </is>
      </c>
      <c r="G19" s="15" t="inlineStr">
        <is>
          <t>Sección de la semana en la bitácora + hoja del sprint siguiente ajustada</t>
        </is>
      </c>
      <c r="H19" s="15" t="inlineStr">
        <is>
          <t>El informe del domingo (21:00) sale con la sección nueva</t>
        </is>
      </c>
      <c r="I19" s="24" t="n">
        <v>1</v>
      </c>
      <c r="J19" s="22" t="n"/>
      <c r="K19" s="15" t="inlineStr">
        <is>
          <t>Pendiente</t>
        </is>
      </c>
      <c r="L19" s="15">
        <f>IF(K19="Cancelado","",IF(J19&lt;&gt;"",J19-B19,IF(AND(K19&lt;&gt;"Hecho",TODAY()&gt;B19),TODAY()-B19,0)))</f>
        <v/>
      </c>
      <c r="M19" s="15" t="inlineStr">
        <is>
          <t>S7-05 (#67)</t>
        </is>
      </c>
      <c r="N19" s="15" t="inlineStr"/>
    </row>
  </sheetData>
  <autoFilter ref="A5:N19"/>
  <conditionalFormatting sqref="A6:N19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dataValidations count="2">
    <dataValidation sqref="K6:K59" showDropDown="0" showInputMessage="0" showErrorMessage="0" allowBlank="1" type="list">
      <formula1>"Pendiente,En curso,Hecho,Movido,Cancelado"</formula1>
    </dataValidation>
    <dataValidation sqref="E6:E59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3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Sprint 8 · 30 nov–6 dic · Documentar el sistema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La validación sigue hasta el 5-dic; Diego documenta, Víctor escribe el capítulo de diseño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IFERROR(COUNTIF(K6:K23,"Hecho")/(COUNTA(D6:D23)-COUNTIF(K6:K23,"Cancelado")),0)</f>
        <v/>
      </c>
      <c r="D3" s="13">
        <f>"Víctor: "&amp;TEXT(IFERROR((COUNTIFS(E6:E23,"Víctor",K6:K23,"Hecho")+COUNTIFS(E6:E23,"Ambos",K6:K23,"Hecho"))/(COUNTIF(E6:E23,"Víctor")+COUNTIF(E6:E23,"Ambos")),0),"0%")&amp;"   ·   Diego: "&amp;TEXT(IFERROR((COUNTIFS(E6:E23,"Diego",K6:K23,"Hecho")+COUNTIFS(E6:E23,"Ambos",K6:K23,"Hecho"))/(COUNTIF(E6:E23,"Diego")+COUNTIF(E6:E23,"Ambos")),0),"0%")&amp;"   ·   Horas: "&amp;TEXT(SUM(I6:I23),"0.0")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S8-T01</t>
        </is>
      </c>
      <c r="B6" s="22" t="n">
        <v>46356</v>
      </c>
      <c r="C6" s="23">
        <f>B6</f>
        <v/>
      </c>
      <c r="D6" s="15" t="inlineStr">
        <is>
          <t>Documentar las herramientas elegidas y descartadas, con justificación</t>
        </is>
      </c>
      <c r="E6" s="15" t="inlineStr">
        <is>
          <t>Diego</t>
        </is>
      </c>
      <c r="F6" s="15" t="inlineStr">
        <is>
          <t>07_Flujos_Diseno/</t>
        </is>
      </c>
      <c r="G6" s="15" t="inlineStr">
        <is>
          <t>07_Flujos_Diseno/Herramientas</t>
        </is>
      </c>
      <c r="H6" s="15" t="inlineStr">
        <is>
          <t>Cada decisión con criterio</t>
        </is>
      </c>
      <c r="I6" s="24" t="n">
        <v>1.5</v>
      </c>
      <c r="J6" s="22" t="n"/>
      <c r="K6" s="15" t="inlineStr">
        <is>
          <t>Pendiente</t>
        </is>
      </c>
      <c r="L6" s="15">
        <f>IF(K6="Cancelado","",IF(J6&lt;&gt;"",J6-B6,IF(AND(K6&lt;&gt;"Hecho",TODAY()&gt;B6),TODAY()-B6,0)))</f>
        <v/>
      </c>
      <c r="M6" s="15" t="inlineStr">
        <is>
          <t>S8-01 (#38)</t>
        </is>
      </c>
      <c r="N6" s="15" t="inlineStr"/>
    </row>
    <row r="7">
      <c r="A7" s="15" t="inlineStr">
        <is>
          <t>S8-T02</t>
        </is>
      </c>
      <c r="B7" s="22" t="n">
        <v>46356</v>
      </c>
      <c r="C7" s="23">
        <f>B7</f>
        <v/>
      </c>
      <c r="D7" s="15" t="inlineStr">
        <is>
          <t>Monitorear la validación</t>
        </is>
      </c>
      <c r="E7" s="15" t="inlineStr">
        <is>
          <t>Diego</t>
        </is>
      </c>
      <c r="F7" s="15" t="inlineStr">
        <is>
          <t>Registro de eventos del sistema</t>
        </is>
      </c>
      <c r="G7" s="15" t="inlineStr">
        <is>
          <t>Bitácora</t>
        </is>
      </c>
      <c r="H7" s="15" t="inlineStr">
        <is>
          <t>Revisada</t>
        </is>
      </c>
      <c r="I7" s="24" t="n">
        <v>0.5</v>
      </c>
      <c r="J7" s="22" t="n"/>
      <c r="K7" s="15" t="inlineStr">
        <is>
          <t>Pendiente</t>
        </is>
      </c>
      <c r="L7" s="15">
        <f>IF(K7="Cancelado","",IF(J7&lt;&gt;"",J7-B7,IF(AND(K7&lt;&gt;"Hecho",TODAY()&gt;B7),TODAY()-B7,0)))</f>
        <v/>
      </c>
      <c r="M7" s="15" t="inlineStr">
        <is>
          <t>S7-03 (#37)</t>
        </is>
      </c>
      <c r="N7" s="15" t="inlineStr"/>
    </row>
    <row r="8">
      <c r="A8" s="15" t="inlineStr">
        <is>
          <t>S8-T03</t>
        </is>
      </c>
      <c r="B8" s="22" t="n">
        <v>46356</v>
      </c>
      <c r="C8" s="23">
        <f>B8</f>
        <v/>
      </c>
      <c r="D8" s="15" t="inlineStr">
        <is>
          <t>Escribir el capítulo de diseño y viabilidad, parte 1 (arquitectura y flujos)</t>
        </is>
      </c>
      <c r="E8" s="15" t="inlineStr">
        <is>
          <t>Víctor</t>
        </is>
      </c>
      <c r="F8" s="15" t="inlineStr">
        <is>
          <t>06_Capitulos/</t>
        </is>
      </c>
      <c r="G8" s="15" t="inlineStr">
        <is>
          <t>Cap5 v0.1 (parte 1)</t>
        </is>
      </c>
      <c r="H8" s="15" t="inlineStr">
        <is>
          <t>Integra los flujos TO-BE</t>
        </is>
      </c>
      <c r="I8" s="24" t="n">
        <v>2</v>
      </c>
      <c r="J8" s="22" t="n"/>
      <c r="K8" s="15" t="inlineStr">
        <is>
          <t>Pendiente</t>
        </is>
      </c>
      <c r="L8" s="15">
        <f>IF(K8="Cancelado","",IF(J8&lt;&gt;"",J8-B8,IF(AND(K8&lt;&gt;"Hecho",TODAY()&gt;B8),TODAY()-B8,0)))</f>
        <v/>
      </c>
      <c r="M8" s="15" t="inlineStr">
        <is>
          <t>S8-06 (#68)</t>
        </is>
      </c>
      <c r="N8" s="15" t="inlineStr"/>
    </row>
    <row r="9">
      <c r="A9" s="15" t="inlineStr">
        <is>
          <t>S8-T04</t>
        </is>
      </c>
      <c r="B9" s="22" t="n">
        <v>46357</v>
      </c>
      <c r="C9" s="23">
        <f>B9</f>
        <v/>
      </c>
      <c r="D9" s="15" t="inlineStr">
        <is>
          <t>Documentar el modelo de datos y el registro de eventos</t>
        </is>
      </c>
      <c r="E9" s="15" t="inlineStr">
        <is>
          <t>Diego</t>
        </is>
      </c>
      <c r="F9" s="15" t="inlineStr">
        <is>
          <t>07_Flujos_Diseno/</t>
        </is>
      </c>
      <c r="G9" s="15" t="inlineStr">
        <is>
          <t>07_Flujos_Diseno/Modelo_Datos</t>
        </is>
      </c>
      <c r="H9" s="15" t="inlineStr">
        <is>
          <t>Coincide con la prueba de concepto</t>
        </is>
      </c>
      <c r="I9" s="24" t="n">
        <v>1.5</v>
      </c>
      <c r="J9" s="22" t="n"/>
      <c r="K9" s="15" t="inlineStr">
        <is>
          <t>Pendiente</t>
        </is>
      </c>
      <c r="L9" s="15">
        <f>IF(K9="Cancelado","",IF(J9&lt;&gt;"",J9-B9,IF(AND(K9&lt;&gt;"Hecho",TODAY()&gt;B9),TODAY()-B9,0)))</f>
        <v/>
      </c>
      <c r="M9" s="15" t="inlineStr">
        <is>
          <t>S8-02 (#39)</t>
        </is>
      </c>
      <c r="N9" s="15" t="inlineStr"/>
    </row>
    <row r="10">
      <c r="A10" s="15" t="inlineStr">
        <is>
          <t>S8-T05</t>
        </is>
      </c>
      <c r="B10" s="22" t="n">
        <v>46357</v>
      </c>
      <c r="C10" s="23">
        <f>B10</f>
        <v/>
      </c>
      <c r="D10" s="15" t="inlineStr">
        <is>
          <t>Monitorear la validación</t>
        </is>
      </c>
      <c r="E10" s="15" t="inlineStr">
        <is>
          <t>Diego</t>
        </is>
      </c>
      <c r="F10" s="15" t="inlineStr">
        <is>
          <t>Registro de eventos del sistema</t>
        </is>
      </c>
      <c r="G10" s="15" t="inlineStr">
        <is>
          <t>Bitácora</t>
        </is>
      </c>
      <c r="H10" s="15" t="inlineStr">
        <is>
          <t>Revisada</t>
        </is>
      </c>
      <c r="I10" s="24" t="n">
        <v>0.5</v>
      </c>
      <c r="J10" s="22" t="n"/>
      <c r="K10" s="15" t="inlineStr">
        <is>
          <t>Pendiente</t>
        </is>
      </c>
      <c r="L10" s="15">
        <f>IF(K10="Cancelado","",IF(J10&lt;&gt;"",J10-B10,IF(AND(K10&lt;&gt;"Hecho",TODAY()&gt;B10),TODAY()-B10,0)))</f>
        <v/>
      </c>
      <c r="M10" s="15" t="inlineStr">
        <is>
          <t>S7-03 (#37)</t>
        </is>
      </c>
      <c r="N10" s="15" t="inlineStr"/>
    </row>
    <row r="11">
      <c r="A11" s="15" t="inlineStr">
        <is>
          <t>S8-T06</t>
        </is>
      </c>
      <c r="B11" s="22" t="n">
        <v>46357</v>
      </c>
      <c r="C11" s="23">
        <f>B11</f>
        <v/>
      </c>
      <c r="D11" s="15" t="inlineStr">
        <is>
          <t>Escribir el capítulo de diseño y viabilidad, parte 2 (costos y VAN/TIR)</t>
        </is>
      </c>
      <c r="E11" s="15" t="inlineStr">
        <is>
          <t>Víctor</t>
        </is>
      </c>
      <c r="F11" s="15" t="inlineStr">
        <is>
          <t>06_Capitulos/</t>
        </is>
      </c>
      <c r="G11" s="15" t="inlineStr">
        <is>
          <t>Cap5 v0.1 (parte 2)</t>
        </is>
      </c>
      <c r="H11" s="15" t="inlineStr">
        <is>
          <t>Integra el modelo financiero</t>
        </is>
      </c>
      <c r="I11" s="24" t="n">
        <v>2</v>
      </c>
      <c r="J11" s="22" t="n"/>
      <c r="K11" s="15" t="inlineStr">
        <is>
          <t>Pendiente</t>
        </is>
      </c>
      <c r="L11" s="15">
        <f>IF(K11="Cancelado","",IF(J11&lt;&gt;"",J11-B11,IF(AND(K11&lt;&gt;"Hecho",TODAY()&gt;B11),TODAY()-B11,0)))</f>
        <v/>
      </c>
      <c r="M11" s="15" t="inlineStr">
        <is>
          <t>S8-06 (#68)</t>
        </is>
      </c>
      <c r="N11" s="15" t="inlineStr"/>
    </row>
    <row r="12">
      <c r="A12" s="15" t="inlineStr">
        <is>
          <t>S8-T07</t>
        </is>
      </c>
      <c r="B12" s="22" t="n">
        <v>46358</v>
      </c>
      <c r="C12" s="23">
        <f>B12</f>
        <v/>
      </c>
      <c r="D12" s="15" t="inlineStr">
        <is>
          <t>Documentar las plantillas de cotización y el asistente de IA</t>
        </is>
      </c>
      <c r="E12" s="15" t="inlineStr">
        <is>
          <t>Diego</t>
        </is>
      </c>
      <c r="F12" s="15" t="inlineStr">
        <is>
          <t>07_Flujos_Diseno/</t>
        </is>
      </c>
      <c r="G12" s="15" t="inlineStr">
        <is>
          <t>07_Flujos_Diseno/Asistente_IA</t>
        </is>
      </c>
      <c r="H12" s="15" t="inlineStr">
        <is>
          <t>Revisado por Víctor</t>
        </is>
      </c>
      <c r="I12" s="24" t="n">
        <v>1.5</v>
      </c>
      <c r="J12" s="22" t="n"/>
      <c r="K12" s="15" t="inlineStr">
        <is>
          <t>Pendiente</t>
        </is>
      </c>
      <c r="L12" s="15">
        <f>IF(K12="Cancelado","",IF(J12&lt;&gt;"",J12-B12,IF(AND(K12&lt;&gt;"Hecho",TODAY()&gt;B12),TODAY()-B12,0)))</f>
        <v/>
      </c>
      <c r="M12" s="15" t="inlineStr">
        <is>
          <t>S8-03 (#40)</t>
        </is>
      </c>
      <c r="N12" s="15" t="inlineStr"/>
    </row>
    <row r="13">
      <c r="A13" s="15" t="inlineStr">
        <is>
          <t>S8-T08</t>
        </is>
      </c>
      <c r="B13" s="22" t="n">
        <v>46358</v>
      </c>
      <c r="C13" s="23">
        <f>B13</f>
        <v/>
      </c>
      <c r="D13" s="15" t="inlineStr">
        <is>
          <t>Monitorear la validación</t>
        </is>
      </c>
      <c r="E13" s="15" t="inlineStr">
        <is>
          <t>Diego</t>
        </is>
      </c>
      <c r="F13" s="15" t="inlineStr">
        <is>
          <t>Registro de eventos del sistema</t>
        </is>
      </c>
      <c r="G13" s="15" t="inlineStr">
        <is>
          <t>Bitácora</t>
        </is>
      </c>
      <c r="H13" s="15" t="inlineStr">
        <is>
          <t>Revisada</t>
        </is>
      </c>
      <c r="I13" s="24" t="n">
        <v>0.5</v>
      </c>
      <c r="J13" s="22" t="n"/>
      <c r="K13" s="15" t="inlineStr">
        <is>
          <t>Pendiente</t>
        </is>
      </c>
      <c r="L13" s="15">
        <f>IF(K13="Cancelado","",IF(J13&lt;&gt;"",J13-B13,IF(AND(K13&lt;&gt;"Hecho",TODAY()&gt;B13),TODAY()-B13,0)))</f>
        <v/>
      </c>
      <c r="M13" s="15" t="inlineStr">
        <is>
          <t>S7-03 (#37)</t>
        </is>
      </c>
      <c r="N13" s="15" t="inlineStr"/>
    </row>
    <row r="14">
      <c r="A14" s="15" t="inlineStr">
        <is>
          <t>S8-T09</t>
        </is>
      </c>
      <c r="B14" s="22" t="n">
        <v>46358</v>
      </c>
      <c r="C14" s="23">
        <f>B14</f>
        <v/>
      </c>
      <c r="D14" s="15" t="inlineStr">
        <is>
          <t>Escribir el capítulo de diseño y viabilidad, parte 3 (normativa y riesgos)</t>
        </is>
      </c>
      <c r="E14" s="15" t="inlineStr">
        <is>
          <t>Víctor</t>
        </is>
      </c>
      <c r="F14" s="15" t="inlineStr">
        <is>
          <t>06_Capitulos/</t>
        </is>
      </c>
      <c r="G14" s="15" t="inlineStr">
        <is>
          <t>Cap5 v0.1 (parte 3)</t>
        </is>
      </c>
      <c r="H14" s="15" t="inlineStr">
        <is>
          <t>Integra normativa y riesgos</t>
        </is>
      </c>
      <c r="I14" s="24" t="n">
        <v>2</v>
      </c>
      <c r="J14" s="22" t="n"/>
      <c r="K14" s="15" t="inlineStr">
        <is>
          <t>Pendiente</t>
        </is>
      </c>
      <c r="L14" s="15">
        <f>IF(K14="Cancelado","",IF(J14&lt;&gt;"",J14-B14,IF(AND(K14&lt;&gt;"Hecho",TODAY()&gt;B14),TODAY()-B14,0)))</f>
        <v/>
      </c>
      <c r="M14" s="15" t="inlineStr">
        <is>
          <t>S8-06 (#68)</t>
        </is>
      </c>
      <c r="N14" s="15" t="inlineStr"/>
    </row>
    <row r="15">
      <c r="A15" s="15" t="inlineStr">
        <is>
          <t>S8-T10</t>
        </is>
      </c>
      <c r="B15" s="22" t="n">
        <v>46359</v>
      </c>
      <c r="C15" s="23">
        <f>B15</f>
        <v/>
      </c>
      <c r="D15" s="15" t="inlineStr">
        <is>
          <t>Ejecutar los casos de prueba</t>
        </is>
      </c>
      <c r="E15" s="15" t="inlineStr">
        <is>
          <t>Diego</t>
        </is>
      </c>
      <c r="F15" s="15" t="inlineStr">
        <is>
          <t>07_Flujos_Diseno/</t>
        </is>
      </c>
      <c r="G15" s="15" t="inlineStr">
        <is>
          <t>07_Flujos_Diseno/Resultados_Casos_Prueba</t>
        </is>
      </c>
      <c r="H15" s="15" t="inlineStr">
        <is>
          <t>Resultado por caso</t>
        </is>
      </c>
      <c r="I15" s="24" t="n">
        <v>1.5</v>
      </c>
      <c r="J15" s="22" t="n"/>
      <c r="K15" s="15" t="inlineStr">
        <is>
          <t>Pendiente</t>
        </is>
      </c>
      <c r="L15" s="15">
        <f>IF(K15="Cancelado","",IF(J15&lt;&gt;"",J15-B15,IF(AND(K15&lt;&gt;"Hecho",TODAY()&gt;B15),TODAY()-B15,0)))</f>
        <v/>
      </c>
      <c r="M15" s="15" t="inlineStr">
        <is>
          <t>S8-04 (#41)</t>
        </is>
      </c>
      <c r="N15" s="15" t="inlineStr"/>
    </row>
    <row r="16">
      <c r="A16" s="15" t="inlineStr">
        <is>
          <t>S8-T11</t>
        </is>
      </c>
      <c r="B16" s="22" t="n">
        <v>46359</v>
      </c>
      <c r="C16" s="23">
        <f>B16</f>
        <v/>
      </c>
      <c r="D16" s="15" t="inlineStr">
        <is>
          <t>Monitorear la validación</t>
        </is>
      </c>
      <c r="E16" s="15" t="inlineStr">
        <is>
          <t>Diego</t>
        </is>
      </c>
      <c r="F16" s="15" t="inlineStr">
        <is>
          <t>Registro de eventos del sistema</t>
        </is>
      </c>
      <c r="G16" s="15" t="inlineStr">
        <is>
          <t>Bitácora</t>
        </is>
      </c>
      <c r="H16" s="15" t="inlineStr">
        <is>
          <t>Revisada</t>
        </is>
      </c>
      <c r="I16" s="24" t="n">
        <v>0.5</v>
      </c>
      <c r="J16" s="22" t="n"/>
      <c r="K16" s="15" t="inlineStr">
        <is>
          <t>Pendiente</t>
        </is>
      </c>
      <c r="L16" s="15">
        <f>IF(K16="Cancelado","",IF(J16&lt;&gt;"",J16-B16,IF(AND(K16&lt;&gt;"Hecho",TODAY()&gt;B16),TODAY()-B16,0)))</f>
        <v/>
      </c>
      <c r="M16" s="15" t="inlineStr">
        <is>
          <t>S7-03 (#37)</t>
        </is>
      </c>
      <c r="N16" s="15" t="inlineStr"/>
    </row>
    <row r="17">
      <c r="A17" s="15" t="inlineStr">
        <is>
          <t>S8-T12</t>
        </is>
      </c>
      <c r="B17" s="22" t="n">
        <v>46359</v>
      </c>
      <c r="C17" s="23">
        <f>B17</f>
        <v/>
      </c>
      <c r="D17" s="15" t="inlineStr">
        <is>
          <t>Revisar los documentos técnicos de Diego</t>
        </is>
      </c>
      <c r="E17" s="15" t="inlineStr">
        <is>
          <t>Víctor</t>
        </is>
      </c>
      <c r="F17" s="15" t="inlineStr">
        <is>
          <t>07_Flujos_Diseno/</t>
        </is>
      </c>
      <c r="G17" s="15" t="inlineStr">
        <is>
          <t>Comentarios</t>
        </is>
      </c>
      <c r="H17" s="15" t="inlineStr">
        <is>
          <t>Comentarios enviados</t>
        </is>
      </c>
      <c r="I17" s="24" t="n">
        <v>2</v>
      </c>
      <c r="J17" s="22" t="n"/>
      <c r="K17" s="15" t="inlineStr">
        <is>
          <t>Pendiente</t>
        </is>
      </c>
      <c r="L17" s="15">
        <f>IF(K17="Cancelado","",IF(J17&lt;&gt;"",J17-B17,IF(AND(K17&lt;&gt;"Hecho",TODAY()&gt;B17),TODAY()-B17,0)))</f>
        <v/>
      </c>
      <c r="M17" s="15" t="inlineStr">
        <is>
          <t>S8-03 (#40)</t>
        </is>
      </c>
      <c r="N17" s="15" t="inlineStr"/>
    </row>
    <row r="18">
      <c r="A18" s="15" t="inlineStr">
        <is>
          <t>S8-T13</t>
        </is>
      </c>
      <c r="B18" s="22" t="n">
        <v>46360</v>
      </c>
      <c r="C18" s="23">
        <f>B18</f>
        <v/>
      </c>
      <c r="D18" s="15" t="inlineStr">
        <is>
          <t>✂ Escribir el manual básico de usuario</t>
        </is>
      </c>
      <c r="E18" s="15" t="inlineStr">
        <is>
          <t>Diego</t>
        </is>
      </c>
      <c r="F18" s="15" t="inlineStr">
        <is>
          <t>07_Flujos_Diseno/</t>
        </is>
      </c>
      <c r="G18" s="15" t="inlineStr">
        <is>
          <t>07_Flujos_Diseno/Manual_Usuario</t>
        </is>
      </c>
      <c r="H18" s="15" t="inlineStr">
        <is>
          <t>Un usuario de Torvesa lo puede seguir</t>
        </is>
      </c>
      <c r="I18" s="24" t="n">
        <v>1.5</v>
      </c>
      <c r="J18" s="22" t="n"/>
      <c r="K18" s="15" t="inlineStr">
        <is>
          <t>Pendiente</t>
        </is>
      </c>
      <c r="L18" s="15">
        <f>IF(K18="Cancelado","",IF(J18&lt;&gt;"",J18-B18,IF(AND(K18&lt;&gt;"Hecho",TODAY()&gt;B18),TODAY()-B18,0)))</f>
        <v/>
      </c>
      <c r="M18" s="15" t="inlineStr">
        <is>
          <t>S8-05 (#42)</t>
        </is>
      </c>
      <c r="N18" s="15" t="inlineStr"/>
    </row>
    <row r="19">
      <c r="A19" s="15" t="inlineStr">
        <is>
          <t>S8-T14</t>
        </is>
      </c>
      <c r="B19" s="22" t="n">
        <v>46360</v>
      </c>
      <c r="C19" s="23">
        <f>B19</f>
        <v/>
      </c>
      <c r="D19" s="15" t="inlineStr">
        <is>
          <t>Terminar el capítulo de diseño y viabilidad</t>
        </is>
      </c>
      <c r="E19" s="15" t="inlineStr">
        <is>
          <t>Víctor</t>
        </is>
      </c>
      <c r="F19" s="15" t="inlineStr">
        <is>
          <t>06_Capitulos/</t>
        </is>
      </c>
      <c r="G19" s="15" t="inlineStr">
        <is>
          <t>06_Capitulos/2026-12-04_Cap5_Diseno_Viabilidad_v0.1.docx</t>
        </is>
      </c>
      <c r="H19" s="15" t="inlineStr">
        <is>
          <t>Capítulo completo</t>
        </is>
      </c>
      <c r="I19" s="24" t="n">
        <v>2</v>
      </c>
      <c r="J19" s="22" t="n"/>
      <c r="K19" s="15" t="inlineStr">
        <is>
          <t>Pendiente</t>
        </is>
      </c>
      <c r="L19" s="15">
        <f>IF(K19="Cancelado","",IF(J19&lt;&gt;"",J19-B19,IF(AND(K19&lt;&gt;"Hecho",TODAY()&gt;B19),TODAY()-B19,0)))</f>
        <v/>
      </c>
      <c r="M19" s="15" t="inlineStr">
        <is>
          <t>S8-06 (#68)</t>
        </is>
      </c>
      <c r="N19" s="15" t="inlineStr"/>
    </row>
    <row r="20">
      <c r="A20" s="15" t="inlineStr">
        <is>
          <t>S8-T15</t>
        </is>
      </c>
      <c r="B20" s="22" t="n">
        <v>46361</v>
      </c>
      <c r="C20" s="23">
        <f>B20</f>
        <v/>
      </c>
      <c r="D20" s="15" t="inlineStr">
        <is>
          <t>Cerrar la validación: congelar el registro y respaldar los datos</t>
        </is>
      </c>
      <c r="E20" s="15" t="inlineStr">
        <is>
          <t>Diego</t>
        </is>
      </c>
      <c r="F20" s="15" t="inlineStr">
        <is>
          <t>Registro de eventos · 05_Datos_Campo/LineaBase_2026-10/</t>
        </is>
      </c>
      <c r="G20" s="15" t="inlineStr">
        <is>
          <t>Respaldo con hash</t>
        </is>
      </c>
      <c r="H20" s="15" t="inlineStr">
        <is>
          <t>Hash anotado</t>
        </is>
      </c>
      <c r="I20" s="24" t="n">
        <v>2</v>
      </c>
      <c r="J20" s="22" t="n"/>
      <c r="K20" s="15" t="inlineStr">
        <is>
          <t>Pendiente</t>
        </is>
      </c>
      <c r="L20" s="15">
        <f>IF(K20="Cancelado","",IF(J20&lt;&gt;"",J20-B20,IF(AND(K20&lt;&gt;"Hecho",TODAY()&gt;B20),TODAY()-B20,0)))</f>
        <v/>
      </c>
      <c r="M20" s="15" t="inlineStr">
        <is>
          <t>S7-03 (#37)</t>
        </is>
      </c>
      <c r="N20" s="15" t="inlineStr"/>
    </row>
    <row r="21">
      <c r="A21" s="15" t="inlineStr">
        <is>
          <t>S8-T16</t>
        </is>
      </c>
      <c r="B21" s="22" t="n">
        <v>46361</v>
      </c>
      <c r="C21" s="23">
        <f>B21</f>
        <v/>
      </c>
      <c r="D21" s="15" t="inlineStr">
        <is>
          <t>Preparar los instrumentos de la medición «después»</t>
        </is>
      </c>
      <c r="E21" s="15" t="inlineStr">
        <is>
          <t>Víctor</t>
        </is>
      </c>
      <c r="F21" s="15" t="inlineStr">
        <is>
          <t>04_Instrumentos/</t>
        </is>
      </c>
      <c r="G21" s="15" t="inlineStr">
        <is>
          <t>Instrumentos post impresos</t>
        </is>
      </c>
      <c r="H21" s="15" t="inlineStr">
        <is>
          <t>Iguales a los de la línea base</t>
        </is>
      </c>
      <c r="I21" s="24" t="n">
        <v>2</v>
      </c>
      <c r="J21" s="22" t="n"/>
      <c r="K21" s="15" t="inlineStr">
        <is>
          <t>Pendiente</t>
        </is>
      </c>
      <c r="L21" s="15">
        <f>IF(K21="Cancelado","",IF(J21&lt;&gt;"",J21-B21,IF(AND(K21&lt;&gt;"Hecho",TODAY()&gt;B21),TODAY()-B21,0)))</f>
        <v/>
      </c>
      <c r="M21" s="15" t="inlineStr">
        <is>
          <t>S9-01 (#43)</t>
        </is>
      </c>
      <c r="N21" s="15" t="inlineStr"/>
    </row>
    <row r="22">
      <c r="A22" s="15" t="inlineStr">
        <is>
          <t>S8-T17</t>
        </is>
      </c>
      <c r="B22" s="22" t="n">
        <v>46362</v>
      </c>
      <c r="C22" s="23">
        <f>B22</f>
        <v/>
      </c>
      <c r="D22" s="15" t="inlineStr">
        <is>
          <t>Intercambiar resúmenes de 1 página (capítulo 5 ↔ documentación técnica)</t>
        </is>
      </c>
      <c r="E22" s="15" t="inlineStr">
        <is>
          <t>Ambos</t>
        </is>
      </c>
      <c r="F22" s="15" t="inlineStr">
        <is>
          <t>06_Capitulos/ y 07_Flujos_Diseno/</t>
        </is>
      </c>
      <c r="G22" s="15" t="inlineStr">
        <is>
          <t>2 resúmenes</t>
        </is>
      </c>
      <c r="H22" s="15" t="inlineStr">
        <is>
          <t>Leídos por el otro</t>
        </is>
      </c>
      <c r="I22" s="24" t="n">
        <v>1</v>
      </c>
      <c r="J22" s="22" t="n"/>
      <c r="K22" s="15" t="inlineStr">
        <is>
          <t>Pendiente</t>
        </is>
      </c>
      <c r="L22" s="15">
        <f>IF(K22="Cancelado","",IF(J22&lt;&gt;"",J22-B22,IF(AND(K22&lt;&gt;"Hecho",TODAY()&gt;B22),TODAY()-B22,0)))</f>
        <v/>
      </c>
      <c r="M22" s="15" t="inlineStr">
        <is>
          <t>S8-07 (#69)</t>
        </is>
      </c>
      <c r="N22" s="15" t="inlineStr"/>
    </row>
    <row r="23">
      <c r="A23" s="15" t="inlineStr">
        <is>
          <t>S8-T18</t>
        </is>
      </c>
      <c r="B23" s="22" t="n">
        <v>46362</v>
      </c>
      <c r="C23" s="23">
        <f>B23</f>
        <v/>
      </c>
      <c r="D23" s="15" t="inlineStr">
        <is>
          <t>Revisar el sprint (qué hicimos, qué no, qué aprendimos), hacer 20 min de «explícame lo tuyo» y planificar el siguiente</t>
        </is>
      </c>
      <c r="E23" s="15" t="inlineStr">
        <is>
          <t>Ambos</t>
        </is>
      </c>
      <c r="F23" s="15" t="inlineStr">
        <is>
          <t>Llamada Víctor–Diego · 11_Planificacion/Bitacora_Semanal.md y 11_Planificacion/Cronograma_Tesis.xlsx</t>
        </is>
      </c>
      <c r="G23" s="15" t="inlineStr">
        <is>
          <t>Sección de la semana en la bitácora + hoja del sprint siguiente ajustada</t>
        </is>
      </c>
      <c r="H23" s="15" t="inlineStr">
        <is>
          <t>El informe del domingo (21:00) sale con la sección nueva</t>
        </is>
      </c>
      <c r="I23" s="24" t="n">
        <v>1</v>
      </c>
      <c r="J23" s="22" t="n"/>
      <c r="K23" s="15" t="inlineStr">
        <is>
          <t>Pendiente</t>
        </is>
      </c>
      <c r="L23" s="15">
        <f>IF(K23="Cancelado","",IF(J23&lt;&gt;"",J23-B23,IF(AND(K23&lt;&gt;"Hecho",TODAY()&gt;B23),TODAY()-B23,0)))</f>
        <v/>
      </c>
      <c r="M23" s="15" t="inlineStr">
        <is>
          <t>S8-07 (#69)</t>
        </is>
      </c>
      <c r="N23" s="15" t="inlineStr"/>
    </row>
  </sheetData>
  <autoFilter ref="A5:N23"/>
  <conditionalFormatting sqref="A6:N23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dataValidations count="2">
    <dataValidation sqref="K6:K63" showDropDown="0" showInputMessage="0" showErrorMessage="0" allowBlank="1" type="list">
      <formula1>"Pendiente,En curso,Hecho,Movido,Cancelado"</formula1>
    </dataValidation>
    <dataValidation sqref="E6:E63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Sprint 9 · 7–13 dic · Medir el «después» y comparar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Medición post, análisis pre-post y pruebas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IFERROR(COUNTIF(K6:K15,"Hecho")/(COUNTA(D6:D15)-COUNTIF(K6:K15,"Cancelado")),0)</f>
        <v/>
      </c>
      <c r="D3" s="13">
        <f>"Víctor: "&amp;TEXT(IFERROR((COUNTIFS(E6:E15,"Víctor",K6:K15,"Hecho")+COUNTIFS(E6:E15,"Ambos",K6:K15,"Hecho"))/(COUNTIF(E6:E15,"Víctor")+COUNTIF(E6:E15,"Ambos")),0),"0%")&amp;"   ·   Diego: "&amp;TEXT(IFERROR((COUNTIFS(E6:E15,"Diego",K6:K15,"Hecho")+COUNTIFS(E6:E15,"Ambos",K6:K15,"Hecho"))/(COUNTIF(E6:E15,"Diego")+COUNTIF(E6:E15,"Ambos")),0),"0%")&amp;"   ·   Horas: "&amp;TEXT(SUM(I6:I15),"0.0")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S9-T01</t>
        </is>
      </c>
      <c r="B6" s="22" t="n">
        <v>46363</v>
      </c>
      <c r="C6" s="23">
        <f>B6</f>
        <v/>
      </c>
      <c r="D6" s="15" t="inlineStr">
        <is>
          <t>Hacer la medición «después», día 1 (encuesta a colaboradores y SUS)</t>
        </is>
      </c>
      <c r="E6" s="15" t="inlineStr">
        <is>
          <t>Ambos</t>
        </is>
      </c>
      <c r="F6" s="15" t="inlineStr">
        <is>
          <t>Torvesa (oficina, Quito)</t>
        </is>
      </c>
      <c r="G6" s="15" t="inlineStr">
        <is>
          <t>Datos post + registro de procedencia</t>
        </is>
      </c>
      <c r="H6" s="15" t="inlineStr">
        <is>
          <t>Cada aplicación registrada</t>
        </is>
      </c>
      <c r="I6" s="24" t="n">
        <v>2</v>
      </c>
      <c r="J6" s="22" t="n"/>
      <c r="K6" s="15" t="inlineStr">
        <is>
          <t>Pendiente</t>
        </is>
      </c>
      <c r="L6" s="15">
        <f>IF(K6="Cancelado","",IF(J6&lt;&gt;"",J6-B6,IF(AND(K6&lt;&gt;"Hecho",TODAY()&gt;B6),TODAY()-B6,0)))</f>
        <v/>
      </c>
      <c r="M6" s="15" t="inlineStr">
        <is>
          <t>S9-01 (#43)</t>
        </is>
      </c>
      <c r="N6" s="15" t="inlineStr"/>
    </row>
    <row r="7">
      <c r="A7" s="15" t="inlineStr">
        <is>
          <t>S9-T02</t>
        </is>
      </c>
      <c r="B7" s="22" t="n">
        <v>46364</v>
      </c>
      <c r="C7" s="23">
        <f>B7</f>
        <v/>
      </c>
      <c r="D7" s="15" t="inlineStr">
        <is>
          <t>Hacer la medición «después», día 2 (prueba de recuperación)</t>
        </is>
      </c>
      <c r="E7" s="15" t="inlineStr">
        <is>
          <t>Ambos</t>
        </is>
      </c>
      <c r="F7" s="15" t="inlineStr">
        <is>
          <t>Torvesa (oficina, Quito)</t>
        </is>
      </c>
      <c r="G7" s="15" t="inlineStr">
        <is>
          <t>Datos post</t>
        </is>
      </c>
      <c r="H7" s="15" t="inlineStr">
        <is>
          <t>Cada aplicación registrada</t>
        </is>
      </c>
      <c r="I7" s="24" t="n">
        <v>2</v>
      </c>
      <c r="J7" s="22" t="n"/>
      <c r="K7" s="15" t="inlineStr">
        <is>
          <t>Pendiente</t>
        </is>
      </c>
      <c r="L7" s="15">
        <f>IF(K7="Cancelado","",IF(J7&lt;&gt;"",J7-B7,IF(AND(K7&lt;&gt;"Hecho",TODAY()&gt;B7),TODAY()-B7,0)))</f>
        <v/>
      </c>
      <c r="M7" s="15" t="inlineStr">
        <is>
          <t>S9-01 (#43)</t>
        </is>
      </c>
      <c r="N7" s="15" t="inlineStr"/>
    </row>
    <row r="8">
      <c r="A8" s="15" t="inlineStr">
        <is>
          <t>S9-T03</t>
        </is>
      </c>
      <c r="B8" s="22" t="n">
        <v>46365</v>
      </c>
      <c r="C8" s="23">
        <f>B8</f>
        <v/>
      </c>
      <c r="D8" s="15" t="inlineStr">
        <is>
          <t>Hacer la medición «después», día 3 (clientes y entrevistas de cierre)</t>
        </is>
      </c>
      <c r="E8" s="15" t="inlineStr">
        <is>
          <t>Ambos</t>
        </is>
      </c>
      <c r="F8" s="15" t="inlineStr">
        <is>
          <t>Torvesa (oficina, Quito)</t>
        </is>
      </c>
      <c r="G8" s="15" t="inlineStr">
        <is>
          <t>Datos post</t>
        </is>
      </c>
      <c r="H8" s="15" t="inlineStr">
        <is>
          <t>Cada aplicación registrada</t>
        </is>
      </c>
      <c r="I8" s="24" t="n">
        <v>2</v>
      </c>
      <c r="J8" s="22" t="n"/>
      <c r="K8" s="15" t="inlineStr">
        <is>
          <t>Pendiente</t>
        </is>
      </c>
      <c r="L8" s="15">
        <f>IF(K8="Cancelado","",IF(J8&lt;&gt;"",J8-B8,IF(AND(K8&lt;&gt;"Hecho",TODAY()&gt;B8),TODAY()-B8,0)))</f>
        <v/>
      </c>
      <c r="M8" s="15" t="inlineStr">
        <is>
          <t>S9-01 (#43)</t>
        </is>
      </c>
      <c r="N8" s="15" t="inlineStr"/>
    </row>
    <row r="9">
      <c r="A9" s="15" t="inlineStr">
        <is>
          <t>S9-T04</t>
        </is>
      </c>
      <c r="B9" s="22" t="n">
        <v>46366</v>
      </c>
      <c r="C9" s="23">
        <f>B9</f>
        <v/>
      </c>
      <c r="D9" s="15" t="inlineStr">
        <is>
          <t>Comparar el antes y el después (análisis pre-post)</t>
        </is>
      </c>
      <c r="E9" s="15" t="inlineStr">
        <is>
          <t>Víctor</t>
        </is>
      </c>
      <c r="F9" s="15" t="inlineStr">
        <is>
          <t>05_Datos_Campo/LineaBase_2026-10/</t>
        </is>
      </c>
      <c r="G9" s="15" t="inlineStr">
        <is>
          <t>Tablas pre-post</t>
        </is>
      </c>
      <c r="H9" s="15" t="inlineStr">
        <is>
          <t>Pruebas del borrador + tamaño del efecto</t>
        </is>
      </c>
      <c r="I9" s="24" t="n">
        <v>2</v>
      </c>
      <c r="J9" s="22" t="n"/>
      <c r="K9" s="15" t="inlineStr">
        <is>
          <t>Pendiente</t>
        </is>
      </c>
      <c r="L9" s="15">
        <f>IF(K9="Cancelado","",IF(J9&lt;&gt;"",J9-B9,IF(AND(K9&lt;&gt;"Hecho",TODAY()&gt;B9),TODAY()-B9,0)))</f>
        <v/>
      </c>
      <c r="M9" s="15" t="inlineStr">
        <is>
          <t>S9-02 (#44)</t>
        </is>
      </c>
      <c r="N9" s="15" t="inlineStr"/>
    </row>
    <row r="10">
      <c r="A10" s="15" t="inlineStr">
        <is>
          <t>S9-T05</t>
        </is>
      </c>
      <c r="B10" s="22" t="n">
        <v>46366</v>
      </c>
      <c r="C10" s="23">
        <f>B10</f>
        <v/>
      </c>
      <c r="D10" s="15" t="inlineStr">
        <is>
          <t>✂ Hacer pruebas de carga simuladas con scripts</t>
        </is>
      </c>
      <c r="E10" s="15" t="inlineStr">
        <is>
          <t>Diego</t>
        </is>
      </c>
      <c r="F10" s="15" t="inlineStr">
        <is>
          <t>07_Flujos_Diseno/</t>
        </is>
      </c>
      <c r="G10" s="15" t="inlineStr">
        <is>
          <t>07_Flujos_Diseno/Pruebas_Carga</t>
        </is>
      </c>
      <c r="H10" s="15" t="inlineStr">
        <is>
          <t>Escenarios reproducibles</t>
        </is>
      </c>
      <c r="I10" s="24" t="n">
        <v>2</v>
      </c>
      <c r="J10" s="22" t="n"/>
      <c r="K10" s="15" t="inlineStr">
        <is>
          <t>Pendiente</t>
        </is>
      </c>
      <c r="L10" s="15">
        <f>IF(K10="Cancelado","",IF(J10&lt;&gt;"",J10-B10,IF(AND(K10&lt;&gt;"Hecho",TODAY()&gt;B10),TODAY()-B10,0)))</f>
        <v/>
      </c>
      <c r="M10" s="15" t="inlineStr">
        <is>
          <t>S9-03 (#45)</t>
        </is>
      </c>
      <c r="N10" s="15" t="inlineStr"/>
    </row>
    <row r="11">
      <c r="A11" s="15" t="inlineStr">
        <is>
          <t>S9-T06</t>
        </is>
      </c>
      <c r="B11" s="22" t="n">
        <v>46367</v>
      </c>
      <c r="C11" s="23">
        <f>B11</f>
        <v/>
      </c>
      <c r="D11" s="15" t="inlineStr">
        <is>
          <t>Terminar el análisis pre-post</t>
        </is>
      </c>
      <c r="E11" s="15" t="inlineStr">
        <is>
          <t>Víctor</t>
        </is>
      </c>
      <c r="F11" s="15" t="inlineStr">
        <is>
          <t>05_Datos_Campo/LineaBase_2026-10/</t>
        </is>
      </c>
      <c r="G11" s="15" t="inlineStr">
        <is>
          <t>Resultados listos</t>
        </is>
      </c>
      <c r="H11" s="15" t="inlineStr">
        <is>
          <t>Revisados con Diego</t>
        </is>
      </c>
      <c r="I11" s="24" t="n">
        <v>2</v>
      </c>
      <c r="J11" s="22" t="n"/>
      <c r="K11" s="15" t="inlineStr">
        <is>
          <t>Pendiente</t>
        </is>
      </c>
      <c r="L11" s="15">
        <f>IF(K11="Cancelado","",IF(J11&lt;&gt;"",J11-B11,IF(AND(K11&lt;&gt;"Hecho",TODAY()&gt;B11),TODAY()-B11,0)))</f>
        <v/>
      </c>
      <c r="M11" s="15" t="inlineStr">
        <is>
          <t>S9-02 (#44)</t>
        </is>
      </c>
      <c r="N11" s="15" t="inlineStr"/>
    </row>
    <row r="12">
      <c r="A12" s="15" t="inlineStr">
        <is>
          <t>S9-T07</t>
        </is>
      </c>
      <c r="B12" s="22" t="n">
        <v>46367</v>
      </c>
      <c r="C12" s="23">
        <f>B12</f>
        <v/>
      </c>
      <c r="D12" s="15" t="inlineStr">
        <is>
          <t>Hacer pruebas de uso y preparar las gráficas de resultados</t>
        </is>
      </c>
      <c r="E12" s="15" t="inlineStr">
        <is>
          <t>Diego</t>
        </is>
      </c>
      <c r="F12" s="15" t="inlineStr">
        <is>
          <t>07_Flujos_Diseno/</t>
        </is>
      </c>
      <c r="G12" s="15" t="inlineStr">
        <is>
          <t>Gráficas</t>
        </is>
      </c>
      <c r="H12" s="15" t="inlineStr">
        <is>
          <t>Legibles y con título</t>
        </is>
      </c>
      <c r="I12" s="24" t="n">
        <v>2</v>
      </c>
      <c r="J12" s="22" t="n"/>
      <c r="K12" s="15" t="inlineStr">
        <is>
          <t>Pendiente</t>
        </is>
      </c>
      <c r="L12" s="15">
        <f>IF(K12="Cancelado","",IF(J12&lt;&gt;"",J12-B12,IF(AND(K12&lt;&gt;"Hecho",TODAY()&gt;B12),TODAY()-B12,0)))</f>
        <v/>
      </c>
      <c r="M12" s="15" t="inlineStr">
        <is>
          <t>S9-02 (#44)</t>
        </is>
      </c>
      <c r="N12" s="15" t="inlineStr"/>
    </row>
    <row r="13">
      <c r="A13" s="15" t="inlineStr">
        <is>
          <t>S9-T08</t>
        </is>
      </c>
      <c r="B13" s="22" t="n">
        <v>46368</v>
      </c>
      <c r="C13" s="23">
        <f>B13</f>
        <v/>
      </c>
      <c r="D13" s="15" t="inlineStr">
        <is>
          <t>Escribir el capítulo de resultados</t>
        </is>
      </c>
      <c r="E13" s="15" t="inlineStr">
        <is>
          <t>Víctor</t>
        </is>
      </c>
      <c r="F13" s="15" t="inlineStr">
        <is>
          <t>06_Capitulos/</t>
        </is>
      </c>
      <c r="G13" s="15" t="inlineStr">
        <is>
          <t>06_Capitulos/2026-12-12_Cap6_Resultados_v0.1.docx</t>
        </is>
      </c>
      <c r="H13" s="15" t="inlineStr">
        <is>
          <t>Capítulo completo</t>
        </is>
      </c>
      <c r="I13" s="24" t="n">
        <v>3</v>
      </c>
      <c r="J13" s="22" t="n"/>
      <c r="K13" s="15" t="inlineStr">
        <is>
          <t>Pendiente</t>
        </is>
      </c>
      <c r="L13" s="15">
        <f>IF(K13="Cancelado","",IF(J13&lt;&gt;"",J13-B13,IF(AND(K13&lt;&gt;"Hecho",TODAY()&gt;B13),TODAY()-B13,0)))</f>
        <v/>
      </c>
      <c r="M13" s="15" t="inlineStr">
        <is>
          <t>S9-02 (#44)</t>
        </is>
      </c>
      <c r="N13" s="15" t="inlineStr"/>
    </row>
    <row r="14">
      <c r="A14" s="15" t="inlineStr">
        <is>
          <t>S9-T09</t>
        </is>
      </c>
      <c r="B14" s="22" t="n">
        <v>46368</v>
      </c>
      <c r="C14" s="23">
        <f>B14</f>
        <v/>
      </c>
      <c r="D14" s="15" t="inlineStr">
        <is>
          <t>Revisar el capítulo de resultados (parte técnica)</t>
        </is>
      </c>
      <c r="E14" s="15" t="inlineStr">
        <is>
          <t>Diego</t>
        </is>
      </c>
      <c r="F14" s="15" t="inlineStr">
        <is>
          <t>06_Capitulos/</t>
        </is>
      </c>
      <c r="G14" s="15" t="inlineStr">
        <is>
          <t>Comentarios</t>
        </is>
      </c>
      <c r="H14" s="15" t="inlineStr">
        <is>
          <t>Comentarios enviados</t>
        </is>
      </c>
      <c r="I14" s="24" t="n">
        <v>2</v>
      </c>
      <c r="J14" s="22" t="n"/>
      <c r="K14" s="15" t="inlineStr">
        <is>
          <t>Pendiente</t>
        </is>
      </c>
      <c r="L14" s="15">
        <f>IF(K14="Cancelado","",IF(J14&lt;&gt;"",J14-B14,IF(AND(K14&lt;&gt;"Hecho",TODAY()&gt;B14),TODAY()-B14,0)))</f>
        <v/>
      </c>
      <c r="M14" s="15" t="inlineStr">
        <is>
          <t>S9-02 (#44)</t>
        </is>
      </c>
      <c r="N14" s="15" t="inlineStr"/>
    </row>
    <row r="15">
      <c r="A15" s="15" t="inlineStr">
        <is>
          <t>S9-T10</t>
        </is>
      </c>
      <c r="B15" s="22" t="n">
        <v>46369</v>
      </c>
      <c r="C15" s="23">
        <f>B15</f>
        <v/>
      </c>
      <c r="D15" s="15" t="inlineStr">
        <is>
          <t>Revisar el sprint (qué hicimos, qué no, qué aprendimos), hacer 20 min de «explícame lo tuyo» y planificar el siguiente</t>
        </is>
      </c>
      <c r="E15" s="15" t="inlineStr">
        <is>
          <t>Ambos</t>
        </is>
      </c>
      <c r="F15" s="15" t="inlineStr">
        <is>
          <t>Llamada Víctor–Diego · 11_Planificacion/Bitacora_Semanal.md y 11_Planificacion/Cronograma_Tesis.xlsx</t>
        </is>
      </c>
      <c r="G15" s="15" t="inlineStr">
        <is>
          <t>Sección de la semana en la bitácora + hoja del sprint siguiente ajustada</t>
        </is>
      </c>
      <c r="H15" s="15" t="inlineStr">
        <is>
          <t>El informe del domingo (21:00) sale con la sección nueva</t>
        </is>
      </c>
      <c r="I15" s="24" t="n">
        <v>1</v>
      </c>
      <c r="J15" s="22" t="n"/>
      <c r="K15" s="15" t="inlineStr">
        <is>
          <t>Pendiente</t>
        </is>
      </c>
      <c r="L15" s="15">
        <f>IF(K15="Cancelado","",IF(J15&lt;&gt;"",J15-B15,IF(AND(K15&lt;&gt;"Hecho",TODAY()&gt;B15),TODAY()-B15,0)))</f>
        <v/>
      </c>
      <c r="M15" s="15" t="inlineStr">
        <is>
          <t>S9-04 (#70)</t>
        </is>
      </c>
      <c r="N15" s="15" t="inlineStr"/>
    </row>
  </sheetData>
  <autoFilter ref="A5:N15"/>
  <conditionalFormatting sqref="A6:N15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dataValidations count="2">
    <dataValidation sqref="K6:K55" showDropDown="0" showInputMessage="0" showErrorMessage="0" allowBlank="1" type="list">
      <formula1>"Pendiente,En curso,Hecho,Movido,Cancelado"</formula1>
    </dataValidation>
    <dataValidation sqref="E6:E55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3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Sprint 10 · 14–20 dic · Cierre e hito del 90 %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Ciclos con la tutora y tesis al 90 %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IFERROR(COUNTIF(K6:K13,"Hecho")/(COUNTA(D6:D13)-COUNTIF(K6:K13,"Cancelado")),0)</f>
        <v/>
      </c>
      <c r="D3" s="13">
        <f>"Víctor: "&amp;TEXT(IFERROR((COUNTIFS(E6:E13,"Víctor",K6:K13,"Hecho")+COUNTIFS(E6:E13,"Ambos",K6:K13,"Hecho"))/(COUNTIF(E6:E13,"Víctor")+COUNTIF(E6:E13,"Ambos")),0),"0%")&amp;"   ·   Diego: "&amp;TEXT(IFERROR((COUNTIFS(E6:E13,"Diego",K6:K13,"Hecho")+COUNTIFS(E6:E13,"Ambos",K6:K13,"Hecho"))/(COUNTIF(E6:E13,"Diego")+COUNTIF(E6:E13,"Ambos")),0),"0%")&amp;"   ·   Horas: "&amp;TEXT(SUM(I6:I13),"0.0")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S10-T01</t>
        </is>
      </c>
      <c r="B6" s="22" t="n">
        <v>46370</v>
      </c>
      <c r="C6" s="23">
        <f>B6</f>
        <v/>
      </c>
      <c r="D6" s="15" t="inlineStr">
        <is>
          <t>Enviar a la tutora la tesis completa para revisión</t>
        </is>
      </c>
      <c r="E6" s="15" t="inlineStr">
        <is>
          <t>Víctor</t>
        </is>
      </c>
      <c r="F6" s="15" t="inlineStr">
        <is>
          <t>Correo electrónico</t>
        </is>
      </c>
      <c r="G6" s="15" t="inlineStr">
        <is>
          <t>Tesis enviada</t>
        </is>
      </c>
      <c r="H6" s="15" t="inlineStr">
        <is>
          <t>Acuse de recibo</t>
        </is>
      </c>
      <c r="I6" s="24" t="n">
        <v>1</v>
      </c>
      <c r="J6" s="22" t="n"/>
      <c r="K6" s="15" t="inlineStr">
        <is>
          <t>Pendiente</t>
        </is>
      </c>
      <c r="L6" s="15">
        <f>IF(K6="Cancelado","",IF(J6&lt;&gt;"",J6-B6,IF(AND(K6&lt;&gt;"Hecho",TODAY()&gt;B6),TODAY()-B6,0)))</f>
        <v/>
      </c>
      <c r="M6" s="15" t="inlineStr">
        <is>
          <t>S10-01 (#46)</t>
        </is>
      </c>
      <c r="N6" s="15" t="inlineStr"/>
    </row>
    <row r="7">
      <c r="A7" s="15" t="inlineStr">
        <is>
          <t>S10-T02</t>
        </is>
      </c>
      <c r="B7" s="22" t="n">
        <v>46370</v>
      </c>
      <c r="C7" s="23">
        <f>B7</f>
        <v/>
      </c>
      <c r="D7" s="15" t="inlineStr">
        <is>
          <t>Revisar anexos técnicos y figuras</t>
        </is>
      </c>
      <c r="E7" s="15" t="inlineStr">
        <is>
          <t>Diego</t>
        </is>
      </c>
      <c r="F7" s="15" t="inlineStr">
        <is>
          <t>06_Capitulos/</t>
        </is>
      </c>
      <c r="G7" s="15" t="inlineStr">
        <is>
          <t>Anexos revisados</t>
        </is>
      </c>
      <c r="H7" s="15" t="inlineStr">
        <is>
          <t>Sin errores</t>
        </is>
      </c>
      <c r="I7" s="24" t="n">
        <v>2</v>
      </c>
      <c r="J7" s="22" t="n"/>
      <c r="K7" s="15" t="inlineStr">
        <is>
          <t>Pendiente</t>
        </is>
      </c>
      <c r="L7" s="15">
        <f>IF(K7="Cancelado","",IF(J7&lt;&gt;"",J7-B7,IF(AND(K7&lt;&gt;"Hecho",TODAY()&gt;B7),TODAY()-B7,0)))</f>
        <v/>
      </c>
      <c r="M7" s="15" t="inlineStr">
        <is>
          <t>S10-02 (#47)</t>
        </is>
      </c>
      <c r="N7" s="15" t="inlineStr"/>
    </row>
    <row r="8">
      <c r="A8" s="15" t="inlineStr">
        <is>
          <t>S10-T03</t>
        </is>
      </c>
      <c r="B8" s="22" t="n">
        <v>46371</v>
      </c>
      <c r="C8" s="23">
        <f>B8</f>
        <v/>
      </c>
      <c r="D8" s="15" t="inlineStr">
        <is>
          <t>✂ Ciclo con la tutora: recibir observaciones</t>
        </is>
      </c>
      <c r="E8" s="15" t="inlineStr">
        <is>
          <t>Víctor</t>
        </is>
      </c>
      <c r="F8" s="15" t="inlineStr">
        <is>
          <t>08_Reuniones_Tutora/</t>
        </is>
      </c>
      <c r="G8" s="15" t="inlineStr">
        <is>
          <t>Observaciones</t>
        </is>
      </c>
      <c r="H8" s="15" t="inlineStr">
        <is>
          <t>Acta corta</t>
        </is>
      </c>
      <c r="I8" s="24" t="n">
        <v>1</v>
      </c>
      <c r="J8" s="22" t="n"/>
      <c r="K8" s="15" t="inlineStr">
        <is>
          <t>Pendiente</t>
        </is>
      </c>
      <c r="L8" s="15">
        <f>IF(K8="Cancelado","",IF(J8&lt;&gt;"",J8-B8,IF(AND(K8&lt;&gt;"Hecho",TODAY()&gt;B8),TODAY()-B8,0)))</f>
        <v/>
      </c>
      <c r="M8" s="15" t="inlineStr">
        <is>
          <t>S10-01 (#46)</t>
        </is>
      </c>
      <c r="N8" s="15" t="inlineStr"/>
    </row>
    <row r="9">
      <c r="A9" s="15" t="inlineStr">
        <is>
          <t>S10-T04</t>
        </is>
      </c>
      <c r="B9" s="22" t="n">
        <v>46372</v>
      </c>
      <c r="C9" s="23">
        <f>B9</f>
        <v/>
      </c>
      <c r="D9" s="15" t="inlineStr">
        <is>
          <t>Corregir según las observaciones</t>
        </is>
      </c>
      <c r="E9" s="15" t="inlineStr">
        <is>
          <t>Ambos</t>
        </is>
      </c>
      <c r="F9" s="15" t="inlineStr">
        <is>
          <t>06_Capitulos/</t>
        </is>
      </c>
      <c r="G9" s="15" t="inlineStr">
        <is>
          <t>Versión corregida</t>
        </is>
      </c>
      <c r="H9" s="15" t="inlineStr">
        <is>
          <t>Observaciones cerradas</t>
        </is>
      </c>
      <c r="I9" s="24" t="n">
        <v>2</v>
      </c>
      <c r="J9" s="22" t="n"/>
      <c r="K9" s="15" t="inlineStr">
        <is>
          <t>Pendiente</t>
        </is>
      </c>
      <c r="L9" s="15">
        <f>IF(K9="Cancelado","",IF(J9&lt;&gt;"",J9-B9,IF(AND(K9&lt;&gt;"Hecho",TODAY()&gt;B9),TODAY()-B9,0)))</f>
        <v/>
      </c>
      <c r="M9" s="15" t="inlineStr">
        <is>
          <t>S10-01 (#46)</t>
        </is>
      </c>
      <c r="N9" s="15" t="inlineStr"/>
    </row>
    <row r="10">
      <c r="A10" s="15" t="inlineStr">
        <is>
          <t>S10-T05</t>
        </is>
      </c>
      <c r="B10" s="22" t="n">
        <v>46373</v>
      </c>
      <c r="C10" s="23">
        <f>B10</f>
        <v/>
      </c>
      <c r="D10" s="15" t="inlineStr">
        <is>
          <t>✂ Ciclo con la tutora: segunda revisión</t>
        </is>
      </c>
      <c r="E10" s="15" t="inlineStr">
        <is>
          <t>Víctor</t>
        </is>
      </c>
      <c r="F10" s="15" t="inlineStr">
        <is>
          <t>08_Reuniones_Tutora/</t>
        </is>
      </c>
      <c r="G10" s="15" t="inlineStr">
        <is>
          <t>Observaciones</t>
        </is>
      </c>
      <c r="H10" s="15" t="inlineStr">
        <is>
          <t>Acta corta</t>
        </is>
      </c>
      <c r="I10" s="24" t="n">
        <v>1</v>
      </c>
      <c r="J10" s="22" t="n"/>
      <c r="K10" s="15" t="inlineStr">
        <is>
          <t>Pendiente</t>
        </is>
      </c>
      <c r="L10" s="15">
        <f>IF(K10="Cancelado","",IF(J10&lt;&gt;"",J10-B10,IF(AND(K10&lt;&gt;"Hecho",TODAY()&gt;B10),TODAY()-B10,0)))</f>
        <v/>
      </c>
      <c r="M10" s="15" t="inlineStr">
        <is>
          <t>S10-01 (#46)</t>
        </is>
      </c>
      <c r="N10" s="15" t="inlineStr"/>
    </row>
    <row r="11">
      <c r="A11" s="15" t="inlineStr">
        <is>
          <t>S10-T06</t>
        </is>
      </c>
      <c r="B11" s="22" t="n">
        <v>46374</v>
      </c>
      <c r="C11" s="23">
        <f>B11</f>
        <v/>
      </c>
      <c r="D11" s="15" t="inlineStr">
        <is>
          <t>HITO: dejar la tesis al 90 %</t>
        </is>
      </c>
      <c r="E11" s="15" t="inlineStr">
        <is>
          <t>Ambos</t>
        </is>
      </c>
      <c r="F11" s="15" t="inlineStr">
        <is>
          <t>06_Capitulos/</t>
        </is>
      </c>
      <c r="G11" s="15" t="inlineStr">
        <is>
          <t>Tesis completa</t>
        </is>
      </c>
      <c r="H11" s="15" t="inlineStr">
        <is>
          <t>Todos los capítulos + bibliografía verificada</t>
        </is>
      </c>
      <c r="I11" s="24" t="n">
        <v>2</v>
      </c>
      <c r="J11" s="22" t="n"/>
      <c r="K11" s="15" t="inlineStr">
        <is>
          <t>Pendiente</t>
        </is>
      </c>
      <c r="L11" s="15">
        <f>IF(K11="Cancelado","",IF(J11&lt;&gt;"",J11-B11,IF(AND(K11&lt;&gt;"Hecho",TODAY()&gt;B11),TODAY()-B11,0)))</f>
        <v/>
      </c>
      <c r="M11" s="15" t="inlineStr">
        <is>
          <t>S10-02 (#47)</t>
        </is>
      </c>
      <c r="N11" s="15" t="inlineStr">
        <is>
          <t>Escenario B confirmado (entrega 4-ene-2027): las tareas ✂ se mantienen</t>
        </is>
      </c>
    </row>
    <row r="12">
      <c r="A12" s="15" t="inlineStr">
        <is>
          <t>S10-T07</t>
        </is>
      </c>
      <c r="B12" s="22" t="n">
        <v>46375</v>
      </c>
      <c r="C12" s="23">
        <f>B12</f>
        <v/>
      </c>
      <c r="D12" s="15" t="inlineStr">
        <is>
          <t>Integrar todo y revisar coherencia entre capítulos</t>
        </is>
      </c>
      <c r="E12" s="15" t="inlineStr">
        <is>
          <t>Ambos</t>
        </is>
      </c>
      <c r="F12" s="15" t="inlineStr">
        <is>
          <t>06_Capitulos/</t>
        </is>
      </c>
      <c r="G12" s="15" t="inlineStr">
        <is>
          <t>Versión integrada</t>
        </is>
      </c>
      <c r="H12" s="15" t="inlineStr">
        <is>
          <t>Lectura completa hecha</t>
        </is>
      </c>
      <c r="I12" s="24" t="n">
        <v>3</v>
      </c>
      <c r="J12" s="22" t="n"/>
      <c r="K12" s="15" t="inlineStr">
        <is>
          <t>Pendiente</t>
        </is>
      </c>
      <c r="L12" s="15">
        <f>IF(K12="Cancelado","",IF(J12&lt;&gt;"",J12-B12,IF(AND(K12&lt;&gt;"Hecho",TODAY()&gt;B12),TODAY()-B12,0)))</f>
        <v/>
      </c>
      <c r="M12" s="15" t="inlineStr">
        <is>
          <t>S10-02 (#47)</t>
        </is>
      </c>
      <c r="N12" s="15" t="inlineStr"/>
    </row>
    <row r="13">
      <c r="A13" s="15" t="inlineStr">
        <is>
          <t>S10-T08</t>
        </is>
      </c>
      <c r="B13" s="22" t="n">
        <v>46376</v>
      </c>
      <c r="C13" s="23">
        <f>B13</f>
        <v/>
      </c>
      <c r="D13" s="15" t="inlineStr">
        <is>
          <t>Revisar el sprint (qué hicimos, qué no, qué aprendimos), hacer 20 min de «explícame lo tuyo» y planificar el siguiente</t>
        </is>
      </c>
      <c r="E13" s="15" t="inlineStr">
        <is>
          <t>Ambos</t>
        </is>
      </c>
      <c r="F13" s="15" t="inlineStr">
        <is>
          <t>Llamada Víctor–Diego · 11_Planificacion/Bitacora_Semanal.md y 11_Planificacion/Cronograma_Tesis.xlsx</t>
        </is>
      </c>
      <c r="G13" s="15" t="inlineStr">
        <is>
          <t>Sección de la semana en la bitácora + hoja del sprint siguiente ajustada</t>
        </is>
      </c>
      <c r="H13" s="15" t="inlineStr">
        <is>
          <t>El informe del domingo (21:00) sale con la sección nueva</t>
        </is>
      </c>
      <c r="I13" s="24" t="n">
        <v>1</v>
      </c>
      <c r="J13" s="22" t="n"/>
      <c r="K13" s="15" t="inlineStr">
        <is>
          <t>Pendiente</t>
        </is>
      </c>
      <c r="L13" s="15">
        <f>IF(K13="Cancelado","",IF(J13&lt;&gt;"",J13-B13,IF(AND(K13&lt;&gt;"Hecho",TODAY()&gt;B13),TODAY()-B13,0)))</f>
        <v/>
      </c>
      <c r="M13" s="15" t="inlineStr">
        <is>
          <t>S10-03 (#71)</t>
        </is>
      </c>
      <c r="N13" s="15" t="inlineStr"/>
    </row>
  </sheetData>
  <autoFilter ref="A5:N13"/>
  <conditionalFormatting sqref="A6:N13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dataValidations count="2">
    <dataValidation sqref="K6:K53" showDropDown="0" showInputMessage="0" showErrorMessage="0" allowBlank="1" type="list">
      <formula1>"Pendiente,En curso,Hecho,Movido,Cancelado"</formula1>
    </dataValidation>
    <dataValidation sqref="E6:E53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Holgura · 21 dic–3 ene · Pulir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Revisión APA, citas y bibliografía en bloques cortos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IFERROR(COUNTIF(K6:K11,"Hecho")/(COUNTA(D6:D11)-COUNTIF(K6:K11,"Cancelado")),0)</f>
        <v/>
      </c>
      <c r="D3" s="13">
        <f>"Víctor: "&amp;TEXT(IFERROR((COUNTIFS(E6:E11,"Víctor",K6:K11,"Hecho")+COUNTIFS(E6:E11,"Ambos",K6:K11,"Hecho"))/(COUNTIF(E6:E11,"Víctor")+COUNTIF(E6:E11,"Ambos")),0),"0%")&amp;"   ·   Diego: "&amp;TEXT(IFERROR((COUNTIFS(E6:E11,"Diego",K6:K11,"Hecho")+COUNTIFS(E6:E11,"Ambos",K6:K11,"Hecho"))/(COUNTIF(E6:E11,"Diego")+COUNTIF(E6:E11,"Ambos")),0),"0%")&amp;"   ·   Horas: "&amp;TEXT(SUM(I6:I11),"0.0")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Holgura-T01</t>
        </is>
      </c>
      <c r="B6" s="22" t="n">
        <v>46378</v>
      </c>
      <c r="C6" s="23">
        <f>B6</f>
        <v/>
      </c>
      <c r="D6" s="15" t="inlineStr">
        <is>
          <t>Revisar las citas del capítulo 1 y 2 contra sus fichas</t>
        </is>
      </c>
      <c r="E6" s="15" t="inlineStr">
        <is>
          <t>Víctor</t>
        </is>
      </c>
      <c r="F6" s="15" t="inlineStr">
        <is>
          <t>06_Capitulos/</t>
        </is>
      </c>
      <c r="G6" s="15" t="inlineStr">
        <is>
          <t>Citas verificadas</t>
        </is>
      </c>
      <c r="H6" s="15" t="inlineStr">
        <is>
          <t>0 citas sin ficha</t>
        </is>
      </c>
      <c r="I6" s="24" t="n">
        <v>1.5</v>
      </c>
      <c r="J6" s="22" t="n"/>
      <c r="K6" s="15" t="inlineStr">
        <is>
          <t>Pendiente</t>
        </is>
      </c>
      <c r="L6" s="15">
        <f>IF(K6="Cancelado","",IF(J6&lt;&gt;"",J6-B6,IF(AND(K6&lt;&gt;"Hecho",TODAY()&gt;B6),TODAY()-B6,0)))</f>
        <v/>
      </c>
      <c r="M6" s="15" t="inlineStr">
        <is>
          <t>H-01 (#48)</t>
        </is>
      </c>
      <c r="N6" s="15" t="inlineStr"/>
    </row>
    <row r="7">
      <c r="A7" s="15" t="inlineStr">
        <is>
          <t>Holgura-T02</t>
        </is>
      </c>
      <c r="B7" s="22" t="n">
        <v>46379</v>
      </c>
      <c r="C7" s="23">
        <f>B7</f>
        <v/>
      </c>
      <c r="D7" s="15" t="inlineStr">
        <is>
          <t>Revisar los anexos técnicos y su numeración</t>
        </is>
      </c>
      <c r="E7" s="15" t="inlineStr">
        <is>
          <t>Diego</t>
        </is>
      </c>
      <c r="F7" s="15" t="inlineStr">
        <is>
          <t>06_Capitulos/</t>
        </is>
      </c>
      <c r="G7" s="15" t="inlineStr">
        <is>
          <t>Anexos ordenados</t>
        </is>
      </c>
      <c r="H7" s="15" t="inlineStr">
        <is>
          <t>Índice correcto</t>
        </is>
      </c>
      <c r="I7" s="24" t="n">
        <v>1.5</v>
      </c>
      <c r="J7" s="22" t="n"/>
      <c r="K7" s="15" t="inlineStr">
        <is>
          <t>Pendiente</t>
        </is>
      </c>
      <c r="L7" s="15">
        <f>IF(K7="Cancelado","",IF(J7&lt;&gt;"",J7-B7,IF(AND(K7&lt;&gt;"Hecho",TODAY()&gt;B7),TODAY()-B7,0)))</f>
        <v/>
      </c>
      <c r="M7" s="15" t="inlineStr">
        <is>
          <t>H-01 (#48)</t>
        </is>
      </c>
      <c r="N7" s="15" t="inlineStr"/>
    </row>
    <row r="8">
      <c r="A8" s="15" t="inlineStr">
        <is>
          <t>Holgura-T03</t>
        </is>
      </c>
      <c r="B8" s="22" t="n">
        <v>46382</v>
      </c>
      <c r="C8" s="23">
        <f>B8</f>
        <v/>
      </c>
      <c r="D8" s="15" t="inlineStr">
        <is>
          <t>Revisar las citas de los capítulos 3–6</t>
        </is>
      </c>
      <c r="E8" s="15" t="inlineStr">
        <is>
          <t>Víctor</t>
        </is>
      </c>
      <c r="F8" s="15" t="inlineStr">
        <is>
          <t>06_Capitulos/</t>
        </is>
      </c>
      <c r="G8" s="15" t="inlineStr">
        <is>
          <t>Citas verificadas</t>
        </is>
      </c>
      <c r="H8" s="15" t="inlineStr">
        <is>
          <t>0 citas sin ficha</t>
        </is>
      </c>
      <c r="I8" s="24" t="n">
        <v>2</v>
      </c>
      <c r="J8" s="22" t="n"/>
      <c r="K8" s="15" t="inlineStr">
        <is>
          <t>Pendiente</t>
        </is>
      </c>
      <c r="L8" s="15">
        <f>IF(K8="Cancelado","",IF(J8&lt;&gt;"",J8-B8,IF(AND(K8&lt;&gt;"Hecho",TODAY()&gt;B8),TODAY()-B8,0)))</f>
        <v/>
      </c>
      <c r="M8" s="15" t="inlineStr">
        <is>
          <t>H-01 (#48)</t>
        </is>
      </c>
      <c r="N8" s="15" t="inlineStr"/>
    </row>
    <row r="9">
      <c r="A9" s="15" t="inlineStr">
        <is>
          <t>Holgura-T04</t>
        </is>
      </c>
      <c r="B9" s="22" t="n">
        <v>46385</v>
      </c>
      <c r="C9" s="23">
        <f>B9</f>
        <v/>
      </c>
      <c r="D9" s="15" t="inlineStr">
        <is>
          <t>Revisar la bibliografía en APA 7</t>
        </is>
      </c>
      <c r="E9" s="15" t="inlineStr">
        <is>
          <t>Víctor</t>
        </is>
      </c>
      <c r="F9" s="15" t="inlineStr">
        <is>
          <t>06_Capitulos/</t>
        </is>
      </c>
      <c r="G9" s="15" t="inlineStr">
        <is>
          <t>Bibliografía final</t>
        </is>
      </c>
      <c r="H9" s="15" t="inlineStr">
        <is>
          <t>Formato APA en todas</t>
        </is>
      </c>
      <c r="I9" s="24" t="n">
        <v>2</v>
      </c>
      <c r="J9" s="22" t="n"/>
      <c r="K9" s="15" t="inlineStr">
        <is>
          <t>Pendiente</t>
        </is>
      </c>
      <c r="L9" s="15">
        <f>IF(K9="Cancelado","",IF(J9&lt;&gt;"",J9-B9,IF(AND(K9&lt;&gt;"Hecho",TODAY()&gt;B9),TODAY()-B9,0)))</f>
        <v/>
      </c>
      <c r="M9" s="15" t="inlineStr">
        <is>
          <t>H-01 (#48)</t>
        </is>
      </c>
      <c r="N9" s="15" t="inlineStr"/>
    </row>
    <row r="10">
      <c r="A10" s="15" t="inlineStr">
        <is>
          <t>Holgura-T05</t>
        </is>
      </c>
      <c r="B10" s="22" t="n">
        <v>46386</v>
      </c>
      <c r="C10" s="23">
        <f>B10</f>
        <v/>
      </c>
      <c r="D10" s="15" t="inlineStr">
        <is>
          <t>Revisar figuras, tablas y diagramas</t>
        </is>
      </c>
      <c r="E10" s="15" t="inlineStr">
        <is>
          <t>Diego</t>
        </is>
      </c>
      <c r="F10" s="15" t="inlineStr">
        <is>
          <t>06_Capitulos/</t>
        </is>
      </c>
      <c r="G10" s="15" t="inlineStr">
        <is>
          <t>Figuras finales</t>
        </is>
      </c>
      <c r="H10" s="15" t="inlineStr">
        <is>
          <t>Numeradas y citadas</t>
        </is>
      </c>
      <c r="I10" s="24" t="n">
        <v>1.5</v>
      </c>
      <c r="J10" s="22" t="n"/>
      <c r="K10" s="15" t="inlineStr">
        <is>
          <t>Pendiente</t>
        </is>
      </c>
      <c r="L10" s="15">
        <f>IF(K10="Cancelado","",IF(J10&lt;&gt;"",J10-B10,IF(AND(K10&lt;&gt;"Hecho",TODAY()&gt;B10),TODAY()-B10,0)))</f>
        <v/>
      </c>
      <c r="M10" s="15" t="inlineStr">
        <is>
          <t>H-01 (#48)</t>
        </is>
      </c>
      <c r="N10" s="15" t="inlineStr"/>
    </row>
    <row r="11">
      <c r="A11" s="15" t="inlineStr">
        <is>
          <t>Holgura-T06</t>
        </is>
      </c>
      <c r="B11" s="22" t="n">
        <v>46389</v>
      </c>
      <c r="C11" s="23">
        <f>B11</f>
        <v/>
      </c>
      <c r="D11" s="15" t="inlineStr">
        <is>
          <t>Leer la tesis completa una vez más</t>
        </is>
      </c>
      <c r="E11" s="15" t="inlineStr">
        <is>
          <t>Ambos</t>
        </is>
      </c>
      <c r="F11" s="15" t="inlineStr">
        <is>
          <t>06_Capitulos/</t>
        </is>
      </c>
      <c r="G11" s="15" t="inlineStr">
        <is>
          <t>Lista de últimos cambios</t>
        </is>
      </c>
      <c r="H11" s="15" t="inlineStr">
        <is>
          <t>Lista cerrada</t>
        </is>
      </c>
      <c r="I11" s="24" t="n">
        <v>3</v>
      </c>
      <c r="J11" s="22" t="n"/>
      <c r="K11" s="15" t="inlineStr">
        <is>
          <t>Pendiente</t>
        </is>
      </c>
      <c r="L11" s="15">
        <f>IF(K11="Cancelado","",IF(J11&lt;&gt;"",J11-B11,IF(AND(K11&lt;&gt;"Hecho",TODAY()&gt;B11),TODAY()-B11,0)))</f>
        <v/>
      </c>
      <c r="M11" s="15" t="inlineStr">
        <is>
          <t>H-01 (#48)</t>
        </is>
      </c>
      <c r="N11" s="15" t="inlineStr">
        <is>
          <t>Última lectura antes de la fecha límite del lunes 4-ene-2027</t>
        </is>
      </c>
    </row>
  </sheetData>
  <autoFilter ref="A5:N11"/>
  <conditionalFormatting sqref="A6:N11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dataValidations count="2">
    <dataValidation sqref="K6:K51" showDropDown="0" showInputMessage="0" showErrorMessage="0" allowBlank="1" type="list">
      <formula1>"Pendiente,En curso,Hecho,Movido,Cancelado"</formula1>
    </dataValidation>
    <dataValidation sqref="E6:E51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9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Entrega · 4–10 ene · Revisión final y firma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Escenario A: la entrega es el 15-dic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IFERROR(COUNTIF(K6:K9,"Hecho")/(COUNTA(D6:D9)-COUNTIF(K6:K9,"Cancelado")),0)</f>
        <v/>
      </c>
      <c r="D3" s="13">
        <f>"Víctor: "&amp;TEXT(IFERROR((COUNTIFS(E6:E9,"Víctor",K6:K9,"Hecho")+COUNTIFS(E6:E9,"Ambos",K6:K9,"Hecho"))/(COUNTIF(E6:E9,"Víctor")+COUNTIF(E6:E9,"Ambos")),0),"0%")&amp;"   ·   Diego: "&amp;TEXT(IFERROR((COUNTIFS(E6:E9,"Diego",K6:K9,"Hecho")+COUNTIFS(E6:E9,"Ambos",K6:K9,"Hecho"))/(COUNTIF(E6:E9,"Diego")+COUNTIF(E6:E9,"Ambos")),0),"0%")&amp;"   ·   Horas: "&amp;TEXT(SUM(I6:I9),"0.0")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Entrega-T01</t>
        </is>
      </c>
      <c r="B6" s="22" t="n">
        <v>46391</v>
      </c>
      <c r="C6" s="23">
        <f>B6</f>
        <v/>
      </c>
      <c r="D6" s="15" t="inlineStr">
        <is>
          <t>Enviar la versión final a la tutora</t>
        </is>
      </c>
      <c r="E6" s="15" t="inlineStr">
        <is>
          <t>Víctor</t>
        </is>
      </c>
      <c r="F6" s="15" t="inlineStr">
        <is>
          <t>Correo electrónico</t>
        </is>
      </c>
      <c r="G6" s="15" t="inlineStr">
        <is>
          <t>Versión final enviada</t>
        </is>
      </c>
      <c r="H6" s="15" t="inlineStr">
        <is>
          <t>Acuse de recibo</t>
        </is>
      </c>
      <c r="I6" s="24" t="n">
        <v>1</v>
      </c>
      <c r="J6" s="22" t="n"/>
      <c r="K6" s="15" t="inlineStr">
        <is>
          <t>Pendiente</t>
        </is>
      </c>
      <c r="L6" s="15">
        <f>IF(K6="Cancelado","",IF(J6&lt;&gt;"",J6-B6,IF(AND(K6&lt;&gt;"Hecho",TODAY()&gt;B6),TODAY()-B6,0)))</f>
        <v/>
      </c>
      <c r="M6" s="15" t="inlineStr">
        <is>
          <t>E-01 (#49)</t>
        </is>
      </c>
      <c r="N6" s="15" t="inlineStr">
        <is>
          <t>FECHA LÍMITE (D5, Víctor 18-oct): el lunes 4-ene-2027 el documento final está completo y listo para la revisión de la tutora</t>
        </is>
      </c>
    </row>
    <row r="7">
      <c r="A7" s="15" t="inlineStr">
        <is>
          <t>Entrega-T02</t>
        </is>
      </c>
      <c r="B7" s="22" t="n">
        <v>46393</v>
      </c>
      <c r="C7" s="23">
        <f>B7</f>
        <v/>
      </c>
      <c r="D7" s="15" t="inlineStr">
        <is>
          <t>Hacer las últimas correcciones</t>
        </is>
      </c>
      <c r="E7" s="15" t="inlineStr">
        <is>
          <t>Ambos</t>
        </is>
      </c>
      <c r="F7" s="15" t="inlineStr">
        <is>
          <t>06_Capitulos/</t>
        </is>
      </c>
      <c r="G7" s="15" t="inlineStr">
        <is>
          <t>Versión final corregida</t>
        </is>
      </c>
      <c r="H7" s="15" t="inlineStr">
        <is>
          <t>Observaciones cerradas</t>
        </is>
      </c>
      <c r="I7" s="24" t="n">
        <v>2</v>
      </c>
      <c r="J7" s="22" t="n"/>
      <c r="K7" s="15" t="inlineStr">
        <is>
          <t>Pendiente</t>
        </is>
      </c>
      <c r="L7" s="15">
        <f>IF(K7="Cancelado","",IF(J7&lt;&gt;"",J7-B7,IF(AND(K7&lt;&gt;"Hecho",TODAY()&gt;B7),TODAY()-B7,0)))</f>
        <v/>
      </c>
      <c r="M7" s="15" t="inlineStr">
        <is>
          <t>E-01 (#49)</t>
        </is>
      </c>
      <c r="N7" s="15" t="inlineStr"/>
    </row>
    <row r="8">
      <c r="A8" s="15" t="inlineStr">
        <is>
          <t>Entrega-T03</t>
        </is>
      </c>
      <c r="B8" s="22" t="n">
        <v>46394</v>
      </c>
      <c r="C8" s="23">
        <f>B8</f>
        <v/>
      </c>
      <c r="D8" s="15" t="inlineStr">
        <is>
          <t>Conseguir la firma de la tutora</t>
        </is>
      </c>
      <c r="E8" s="15" t="inlineStr">
        <is>
          <t>Víctor</t>
        </is>
      </c>
      <c r="F8" s="15" t="inlineStr">
        <is>
          <t>UPS Quito, en persona</t>
        </is>
      </c>
      <c r="G8" s="15" t="inlineStr">
        <is>
          <t>Tesis firmada</t>
        </is>
      </c>
      <c r="H8" s="15" t="inlineStr">
        <is>
          <t>Firma</t>
        </is>
      </c>
      <c r="I8" s="24" t="n">
        <v>1</v>
      </c>
      <c r="J8" s="22" t="n"/>
      <c r="K8" s="15" t="inlineStr">
        <is>
          <t>Pendiente</t>
        </is>
      </c>
      <c r="L8" s="15">
        <f>IF(K8="Cancelado","",IF(J8&lt;&gt;"",J8-B8,IF(AND(K8&lt;&gt;"Hecho",TODAY()&gt;B8),TODAY()-B8,0)))</f>
        <v/>
      </c>
      <c r="M8" s="15" t="inlineStr">
        <is>
          <t>E-01 (#49)</t>
        </is>
      </c>
      <c r="N8" s="15" t="inlineStr"/>
    </row>
    <row r="9">
      <c r="A9" s="15" t="inlineStr">
        <is>
          <t>Entrega-T04</t>
        </is>
      </c>
      <c r="B9" s="22" t="n">
        <v>46395</v>
      </c>
      <c r="C9" s="23">
        <f>B9</f>
        <v/>
      </c>
      <c r="D9" s="15" t="inlineStr">
        <is>
          <t>Entregar la tesis a la carrera</t>
        </is>
      </c>
      <c r="E9" s="15" t="inlineStr">
        <is>
          <t>Ambos</t>
        </is>
      </c>
      <c r="F9" s="15" t="inlineStr">
        <is>
          <t>Sistema de la UPS</t>
        </is>
      </c>
      <c r="G9" s="15" t="inlineStr">
        <is>
          <t>Comprobante</t>
        </is>
      </c>
      <c r="H9" s="15" t="inlineStr">
        <is>
          <t>Comprobante recibido</t>
        </is>
      </c>
      <c r="I9" s="24" t="n">
        <v>1</v>
      </c>
      <c r="J9" s="22" t="n"/>
      <c r="K9" s="15" t="inlineStr">
        <is>
          <t>Pendiente</t>
        </is>
      </c>
      <c r="L9" s="15">
        <f>IF(K9="Cancelado","",IF(J9&lt;&gt;"",J9-B9,IF(AND(K9&lt;&gt;"Hecho",TODAY()&gt;B9),TODAY()-B9,0)))</f>
        <v/>
      </c>
      <c r="M9" s="15" t="inlineStr">
        <is>
          <t>E-02 (#50)</t>
        </is>
      </c>
      <c r="N9" s="15" t="inlineStr"/>
    </row>
  </sheetData>
  <autoFilter ref="A5:N9"/>
  <conditionalFormatting sqref="A6:N9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dataValidations count="2">
    <dataValidation sqref="K6:K49" showDropDown="0" showInputMessage="0" showErrorMessage="0" allowBlank="1" type="list">
      <formula1>"Pendiente,En curso,Hecho,Movido,Cancelado"</formula1>
    </dataValidation>
    <dataValidation sqref="E6:E49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0"/>
  <sheetViews>
    <sheetView zoomScale="9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52" customWidth="1" min="4" max="4"/>
    <col width="11" customWidth="1" min="5" max="5"/>
    <col width="38" customWidth="1" min="6" max="6"/>
    <col width="36" customWidth="1" min="7" max="7"/>
    <col width="30" customWidth="1" min="8" max="8"/>
    <col width="9" customWidth="1" min="9" max="9"/>
    <col width="12" customWidth="1" min="10" max="10"/>
    <col width="12" customWidth="1" min="11" max="11"/>
    <col width="10" customWidth="1" min="12" max="12"/>
    <col width="26" customWidth="1" min="13" max="13"/>
    <col width="34" customWidth="1" min="14" max="14"/>
  </cols>
  <sheetData>
    <row r="1" ht="26" customHeight="1">
      <c r="A1" s="1" t="inlineStr">
        <is>
          <t>Defensa · 11 ene–12 feb · Preparar y defender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Objetivo: Los dos deben poder responder sobre todo el proyecto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11" t="inlineStr">
        <is>
          <t>Avance del sprint:</t>
        </is>
      </c>
      <c r="C3" s="12">
        <f>IFERROR(COUNTIF(K6:K10,"Hecho")/(COUNTA(D6:D10)-COUNTIF(K6:K10,"Cancelado")),0)</f>
        <v/>
      </c>
      <c r="D3" s="13">
        <f>"Víctor: "&amp;TEXT(IFERROR((COUNTIFS(E6:E10,"Víctor",K6:K10,"Hecho")+COUNTIFS(E6:E10,"Ambos",K6:K10,"Hecho"))/(COUNTIF(E6:E10,"Víctor")+COUNTIF(E6:E10,"Ambos")),0),"0%")&amp;"   ·   Diego: "&amp;TEXT(IFERROR((COUNTIFS(E6:E10,"Diego",K6:K10,"Hecho")+COUNTIFS(E6:E10,"Ambos",K6:K10,"Hecho"))/(COUNTIF(E6:E10,"Diego")+COUNTIF(E6:E10,"Ambos")),0),"0%")&amp;"   ·   Horas: "&amp;TEXT(SUM(I6:I10),"0.0")</f>
        <v/>
      </c>
    </row>
    <row r="5" ht="30" customHeight="1">
      <c r="A5" s="14" t="inlineStr">
        <is>
          <t>ID</t>
        </is>
      </c>
      <c r="B5" s="14" t="inlineStr">
        <is>
          <t>Día planificado</t>
        </is>
      </c>
      <c r="C5" s="14" t="inlineStr">
        <is>
          <t>Día</t>
        </is>
      </c>
      <c r="D5" s="14" t="inlineStr">
        <is>
          <t>Tarea (verbo + qué + para qué)</t>
        </is>
      </c>
      <c r="E5" s="14" t="inlineStr">
        <is>
          <t>Responsable</t>
        </is>
      </c>
      <c r="F5" s="14" t="inlineStr">
        <is>
          <t>Dónde se hace</t>
        </is>
      </c>
      <c r="G5" s="14" t="inlineStr">
        <is>
          <t>Resultado esperado</t>
        </is>
      </c>
      <c r="H5" s="14" t="inlineStr">
        <is>
          <t>Cómo sé que terminé</t>
        </is>
      </c>
      <c r="I5" s="14" t="inlineStr">
        <is>
          <t>Horas estimadas</t>
        </is>
      </c>
      <c r="J5" s="14" t="inlineStr">
        <is>
          <t>Fecha real</t>
        </is>
      </c>
      <c r="K5" s="14" t="inlineStr">
        <is>
          <t>Estado</t>
        </is>
      </c>
      <c r="L5" s="14" t="inlineStr">
        <is>
          <t>Días de retraso</t>
        </is>
      </c>
      <c r="M5" s="14" t="inlineStr">
        <is>
          <t>Entregable (issue)</t>
        </is>
      </c>
      <c r="N5" s="14" t="inlineStr">
        <is>
          <t>Notas</t>
        </is>
      </c>
    </row>
    <row r="6">
      <c r="A6" s="15" t="inlineStr">
        <is>
          <t>Defensa-T01</t>
        </is>
      </c>
      <c r="B6" s="22" t="n">
        <v>46399</v>
      </c>
      <c r="C6" s="23">
        <f>B6</f>
        <v/>
      </c>
      <c r="D6" s="15" t="inlineStr">
        <is>
          <t>Escribir el resumen de contribuciones (quién hizo qué)</t>
        </is>
      </c>
      <c r="E6" s="15" t="inlineStr">
        <is>
          <t>Ambos</t>
        </is>
      </c>
      <c r="F6" s="15" t="inlineStr">
        <is>
          <t>09_Registro_Contribuciones/</t>
        </is>
      </c>
      <c r="G6" s="15" t="inlineStr">
        <is>
          <t>Resumen de contribuciones</t>
        </is>
      </c>
      <c r="H6" s="15" t="inlineStr">
        <is>
          <t>Aprobado por los dos</t>
        </is>
      </c>
      <c r="I6" s="24" t="n">
        <v>2</v>
      </c>
      <c r="J6" s="22" t="n"/>
      <c r="K6" s="15" t="inlineStr">
        <is>
          <t>Pendiente</t>
        </is>
      </c>
      <c r="L6" s="15">
        <f>IF(K6="Cancelado","",IF(J6&lt;&gt;"",J6-B6,IF(AND(K6&lt;&gt;"Hecho",TODAY()&gt;B6),TODAY()-B6,0)))</f>
        <v/>
      </c>
      <c r="M6" s="15" t="inlineStr">
        <is>
          <t>D-01 (#51)</t>
        </is>
      </c>
      <c r="N6" s="15" t="inlineStr"/>
    </row>
    <row r="7">
      <c r="A7" s="15" t="inlineStr">
        <is>
          <t>Defensa-T02</t>
        </is>
      </c>
      <c r="B7" s="22" t="n">
        <v>46410</v>
      </c>
      <c r="C7" s="23">
        <f>B7</f>
        <v/>
      </c>
      <c r="D7" s="15" t="inlineStr">
        <is>
          <t>Dividir la exposición y armar las diapositivas</t>
        </is>
      </c>
      <c r="E7" s="15" t="inlineStr">
        <is>
          <t>Ambos</t>
        </is>
      </c>
      <c r="F7" s="15" t="inlineStr">
        <is>
          <t>Llamada Víctor–Diego</t>
        </is>
      </c>
      <c r="G7" s="15" t="inlineStr">
        <is>
          <t>Guion + diapositivas</t>
        </is>
      </c>
      <c r="H7" s="15" t="inlineStr">
        <is>
          <t>Cada uno sabe su parte y la del otro</t>
        </is>
      </c>
      <c r="I7" s="24" t="n">
        <v>3</v>
      </c>
      <c r="J7" s="22" t="n"/>
      <c r="K7" s="15" t="inlineStr">
        <is>
          <t>Pendiente</t>
        </is>
      </c>
      <c r="L7" s="15">
        <f>IF(K7="Cancelado","",IF(J7&lt;&gt;"",J7-B7,IF(AND(K7&lt;&gt;"Hecho",TODAY()&gt;B7),TODAY()-B7,0)))</f>
        <v/>
      </c>
      <c r="M7" s="15" t="inlineStr">
        <is>
          <t>D-02 (#52)</t>
        </is>
      </c>
      <c r="N7" s="15" t="inlineStr"/>
    </row>
    <row r="8">
      <c r="A8" s="15" t="inlineStr">
        <is>
          <t>Defensa-T03</t>
        </is>
      </c>
      <c r="B8" s="22" t="n">
        <v>46417</v>
      </c>
      <c r="C8" s="23">
        <f>B8</f>
        <v/>
      </c>
      <c r="D8" s="15" t="inlineStr">
        <is>
          <t>Armar el banco de preguntas del tribunal y hacer el simulacro 1</t>
        </is>
      </c>
      <c r="E8" s="15" t="inlineStr">
        <is>
          <t>Ambos</t>
        </is>
      </c>
      <c r="F8" s="15" t="inlineStr">
        <is>
          <t>Llamada Víctor–Diego</t>
        </is>
      </c>
      <c r="G8" s="15" t="inlineStr">
        <is>
          <t>Banco de preguntas + simulacro</t>
        </is>
      </c>
      <c r="H8" s="15" t="inlineStr">
        <is>
          <t>Simulacro cronometrado</t>
        </is>
      </c>
      <c r="I8" s="24" t="n">
        <v>3</v>
      </c>
      <c r="J8" s="22" t="n"/>
      <c r="K8" s="15" t="inlineStr">
        <is>
          <t>Pendiente</t>
        </is>
      </c>
      <c r="L8" s="15">
        <f>IF(K8="Cancelado","",IF(J8&lt;&gt;"",J8-B8,IF(AND(K8&lt;&gt;"Hecho",TODAY()&gt;B8),TODAY()-B8,0)))</f>
        <v/>
      </c>
      <c r="M8" s="15" t="inlineStr">
        <is>
          <t>D-02 (#52)</t>
        </is>
      </c>
      <c r="N8" s="15" t="inlineStr"/>
    </row>
    <row r="9">
      <c r="A9" s="15" t="inlineStr">
        <is>
          <t>Defensa-T04</t>
        </is>
      </c>
      <c r="B9" s="22" t="n">
        <v>46424</v>
      </c>
      <c r="C9" s="23">
        <f>B9</f>
        <v/>
      </c>
      <c r="D9" s="15" t="inlineStr">
        <is>
          <t>Hacer el simulacro 2 con preguntas cruzadas (cada uno responde lo del otro)</t>
        </is>
      </c>
      <c r="E9" s="15" t="inlineStr">
        <is>
          <t>Ambos</t>
        </is>
      </c>
      <c r="F9" s="15" t="inlineStr">
        <is>
          <t>Llamada Víctor–Diego</t>
        </is>
      </c>
      <c r="G9" s="15" t="inlineStr">
        <is>
          <t>Simulacro 2</t>
        </is>
      </c>
      <c r="H9" s="15" t="inlineStr">
        <is>
          <t>Ambos responden todo el banco</t>
        </is>
      </c>
      <c r="I9" s="24" t="n">
        <v>3</v>
      </c>
      <c r="J9" s="22" t="n"/>
      <c r="K9" s="15" t="inlineStr">
        <is>
          <t>Pendiente</t>
        </is>
      </c>
      <c r="L9" s="15">
        <f>IF(K9="Cancelado","",IF(J9&lt;&gt;"",J9-B9,IF(AND(K9&lt;&gt;"Hecho",TODAY()&gt;B9),TODAY()-B9,0)))</f>
        <v/>
      </c>
      <c r="M9" s="15" t="inlineStr">
        <is>
          <t>D-02 (#52)</t>
        </is>
      </c>
      <c r="N9" s="15" t="inlineStr"/>
    </row>
    <row r="10">
      <c r="A10" s="15" t="inlineStr">
        <is>
          <t>Defensa-T05</t>
        </is>
      </c>
      <c r="B10" s="22" t="n">
        <v>46427</v>
      </c>
      <c r="C10" s="23">
        <f>B10</f>
        <v/>
      </c>
      <c r="D10" s="15" t="inlineStr">
        <is>
          <t>Defender la tesis (fecha a confirmar por la carrera)</t>
        </is>
      </c>
      <c r="E10" s="15" t="inlineStr">
        <is>
          <t>Ambos</t>
        </is>
      </c>
      <c r="F10" s="15" t="inlineStr">
        <is>
          <t>UPS Quito, en persona</t>
        </is>
      </c>
      <c r="G10" s="15" t="inlineStr">
        <is>
          <t>Defensa</t>
        </is>
      </c>
      <c r="H10" s="15" t="inlineStr">
        <is>
          <t>Aprobada</t>
        </is>
      </c>
      <c r="I10" s="24" t="n">
        <v>2</v>
      </c>
      <c r="J10" s="22" t="n"/>
      <c r="K10" s="15" t="inlineStr">
        <is>
          <t>Pendiente</t>
        </is>
      </c>
      <c r="L10" s="15">
        <f>IF(K10="Cancelado","",IF(J10&lt;&gt;"",J10-B10,IF(AND(K10&lt;&gt;"Hecho",TODAY()&gt;B10),TODAY()-B10,0)))</f>
        <v/>
      </c>
      <c r="M10" s="15" t="inlineStr">
        <is>
          <t>D-03 (#53)</t>
        </is>
      </c>
      <c r="N10" s="15" t="inlineStr"/>
    </row>
  </sheetData>
  <autoFilter ref="A5:N10"/>
  <conditionalFormatting sqref="A6:N10">
    <cfRule type="expression" priority="1" dxfId="1" stopIfTrue="1">
      <formula>$K6="Hecho"</formula>
    </cfRule>
    <cfRule type="expression" priority="2" dxfId="2" stopIfTrue="1">
      <formula>$K6="Movido"</formula>
    </cfRule>
    <cfRule type="expression" priority="3" dxfId="0" stopIfTrue="1">
      <formula>AND($K6&lt;&gt;"Cancelado",$L6&lt;&gt;"",$L6&gt;0)</formula>
    </cfRule>
    <cfRule type="expression" priority="4" dxfId="3">
      <formula>$K6="Cancelado"</formula>
    </cfRule>
  </conditionalFormatting>
  <dataValidations count="2">
    <dataValidation sqref="K6:K50" showDropDown="0" showInputMessage="0" showErrorMessage="0" allowBlank="1" type="list">
      <formula1>"Pendiente,En curso,Hecho,Movido,Cancelado"</formula1>
    </dataValidation>
    <dataValidation sqref="E6:E50" showDropDown="0" showInputMessage="0" showErrorMessage="0" allowBlank="0" type="list">
      <formula1>"Víctor,Diego,Ambos"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2026-10-12T01:51:42Z</dcterms:created>
  <dcterms:modified xmlns:dcterms="http://purl.org/dc/terms/" xmlns:xsi="http://www.w3.org/2001/XMLSchema-instance" xsi:type="dcterms:W3CDTF">2026-10-27T15:16:34Z</dcterms:modified>
</cp:coreProperties>
</file>